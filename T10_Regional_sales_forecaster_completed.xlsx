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User\Desktop\T10_Regional_Sales_Forecaster\"/>
    </mc:Choice>
  </mc:AlternateContent>
  <bookViews>
    <workbookView xWindow="0" yWindow="0" windowWidth="23040" windowHeight="9000" tabRatio="500" firstSheet="2" activeTab="3"/>
  </bookViews>
  <sheets>
    <sheet name="Task Brief" sheetId="1" r:id="rId1"/>
    <sheet name="Monthly Sales" sheetId="2" r:id="rId2"/>
    <sheet name="Data Dictionary" sheetId="3" r:id="rId3"/>
    <sheet name="AI Use Log" sheetId="4" r:id="rId4"/>
    <sheet name="Backtest Results" sheetId="5" r:id="rId5"/>
    <sheet name="Forecast Output" sheetId="6" r:id="rId6"/>
    <sheet name="Forecast Summary" sheetId="7" r:id="rId7"/>
  </sheets>
  <definedNames>
    <definedName name="_xlnm._FilterDatabase" localSheetId="1" hidden="1">'Monthly Sales'!$A$1:$E$145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alcChain>
</file>

<file path=xl/sharedStrings.xml><?xml version="1.0" encoding="utf-8"?>
<sst xmlns="http://schemas.openxmlformats.org/spreadsheetml/2006/main" count="409" uniqueCount="180">
  <si>
    <t>T10  Regional sales forecaster</t>
  </si>
  <si>
    <t>Mini project | 30 marks | Build something with free LLM tools</t>
  </si>
  <si>
    <t>Task ID</t>
  </si>
  <si>
    <t>T10</t>
  </si>
  <si>
    <t>Task</t>
  </si>
  <si>
    <t>Regional sales forecaster</t>
  </si>
  <si>
    <t>Theme</t>
  </si>
  <si>
    <t>No-code apps &amp; dashboards</t>
  </si>
  <si>
    <t>Suggested free tools</t>
  </si>
  <si>
    <t>Google Colab with its built-in Gemini assistant, or any free chatbot, to write Python; publish on Streamlit Community Cloud or Hugging Face Spaces (free)</t>
  </si>
  <si>
    <t>What students do</t>
  </si>
  <si>
    <t>1. Use an LLM to write forecasting code (moving average, exponential smoothing, simple regression).
2. Forecast the next 6 months by region.
3. Back-test on the last 6 known months and report MAPE.
4. Present a forecast chart for the sales review.</t>
  </si>
  <si>
    <t>Deliverables</t>
  </si>
  <si>
    <t>Forecast notebook/app; accuracy table; forecast chart; AI-use log</t>
  </si>
  <si>
    <t>Dataset in this file</t>
  </si>
  <si>
    <t>36 months of net sales by 4 regions
- 'Monthly Sales' sheet: 144 rows x 5 columns</t>
  </si>
  <si>
    <t>About the data</t>
  </si>
  <si>
    <t>All data is synthetic and created for teaching; companies, people and figures are fictional. Treat it as if it were real business data. If a 'Gold Labels (evaluation)' sheet is present, do NOT give it to the AI tool - use it only at the end to measure your accuracy.</t>
  </si>
  <si>
    <t>Team size</t>
  </si>
  <si>
    <t>Individual (or pairs if your faculty allows)</t>
  </si>
  <si>
    <t>Responsible AI rules</t>
  </si>
  <si>
    <t>Use only free tools; never paste real personal or confidential data into public AI tools; verify every number the AI gives you; disclose AI-generated content.</t>
  </si>
  <si>
    <t>Submission</t>
  </si>
  <si>
    <t>1) Build link / file / screen recording  2) This workbook with your outputs added as new sheets  3) Completed 'AI Use Log' sheet (minimum 15 entries)  4) 3-5 page report with recommendation and reflection</t>
  </si>
  <si>
    <t>Evaluation rubric (30 marks)</t>
  </si>
  <si>
    <t>Criterion</t>
  </si>
  <si>
    <t>What is assessed</t>
  </si>
  <si>
    <t>Marks</t>
  </si>
  <si>
    <t>Excellent</t>
  </si>
  <si>
    <t>Good</t>
  </si>
  <si>
    <t>Fair</t>
  </si>
  <si>
    <t>Poor</t>
  </si>
  <si>
    <t>1. Working build</t>
  </si>
  <si>
    <t>Tool / bot / app / automation works end to end on the provided data; link, file or screen recording submitted</t>
  </si>
  <si>
    <t>Runs fully (7-8)</t>
  </si>
  <si>
    <t>Minor gaps (5-6)</t>
  </si>
  <si>
    <t>Partly working (3-4)</t>
  </si>
  <si>
    <t>Not working (0-2)</t>
  </si>
  <si>
    <t>2. Correctness and verification</t>
  </si>
  <si>
    <t>Outputs checked against the data or gold labels; accuracy measured; errors found and fixed</t>
  </si>
  <si>
    <t>Systematic checks with numbers (6-7)</t>
  </si>
  <si>
    <t>Some checks (4-5)</t>
  </si>
  <si>
    <t>Few checks (2-3)</t>
  </si>
  <si>
    <t>None (0-1)</t>
  </si>
  <si>
    <t>3. Prompting and iteration</t>
  </si>
  <si>
    <t>Clear, structured prompts; at least 3 documented improvement rounds with reasons</t>
  </si>
  <si>
    <t>Strong iteration (5)</t>
  </si>
  <si>
    <t>Some iteration (3-4)</t>
  </si>
  <si>
    <t>Mostly one-shot (2)</t>
  </si>
  <si>
    <t>No log (0-1)</t>
  </si>
  <si>
    <t>4. Business insight and recommendation</t>
  </si>
  <si>
    <t>Specific, data-backed recommendation for the stated manager or customer</t>
  </si>
  <si>
    <t>Actionable and quantified (6)</t>
  </si>
  <si>
    <t>Sound but generic (4-5)</t>
  </si>
  <si>
    <t>Descriptive only (2-3)</t>
  </si>
  <si>
    <t>Missing (0-1)</t>
  </si>
  <si>
    <t>5. Documentation and reflection</t>
  </si>
  <si>
    <t>Complete AI-use log, limitations, responsible-AI notes and personal reflection</t>
  </si>
  <si>
    <t>Complete and honest (4)</t>
  </si>
  <si>
    <t>Mostly complete (3)</t>
  </si>
  <si>
    <t>Thin (2)</t>
  </si>
  <si>
    <t>Total</t>
  </si>
  <si>
    <t>month</t>
  </si>
  <si>
    <t>region</t>
  </si>
  <si>
    <t>net_sales_inr</t>
  </si>
  <si>
    <t>orders</t>
  </si>
  <si>
    <t>active_sales_reps</t>
  </si>
  <si>
    <t>North</t>
  </si>
  <si>
    <t>South</t>
  </si>
  <si>
    <t>East</t>
  </si>
  <si>
    <t>West</t>
  </si>
  <si>
    <t>sheet</t>
  </si>
  <si>
    <t>column</t>
  </si>
  <si>
    <t>data_type</t>
  </si>
  <si>
    <t>example_value</t>
  </si>
  <si>
    <t>non_empty_values</t>
  </si>
  <si>
    <t>distinct_values</t>
  </si>
  <si>
    <t>Monthly Sales</t>
  </si>
  <si>
    <t>Date/time</t>
  </si>
  <si>
    <t>2023-04-01</t>
  </si>
  <si>
    <t>Text</t>
  </si>
  <si>
    <t>Decimal number</t>
  </si>
  <si>
    <t>3858002.0</t>
  </si>
  <si>
    <t>Whole number</t>
  </si>
  <si>
    <t>3195</t>
  </si>
  <si>
    <t>35</t>
  </si>
  <si>
    <t>AI Use Log - fill one row per prompt (minimum 15). Yellow cells are for you to fill; row 4 is an example.</t>
  </si>
  <si>
    <t>Evidence = shared chat link or screenshot file name. Keep rejected outputs too - they earn marks under 'Prompting and iteration'.</t>
  </si>
  <si>
    <t>#</t>
  </si>
  <si>
    <t>date</t>
  </si>
  <si>
    <t>tool</t>
  </si>
  <si>
    <t>model / mode</t>
  </si>
  <si>
    <t>settings used (if any)</t>
  </si>
  <si>
    <t>prompt (exact text)</t>
  </si>
  <si>
    <t>what the output did well / badly</t>
  </si>
  <si>
    <t>what I changed next and why</t>
  </si>
  <si>
    <t>kept or rejected</t>
  </si>
  <si>
    <t>evidence link / file</t>
  </si>
  <si>
    <t>Gemini (free)</t>
  </si>
  <si>
    <t>Gemini app, default</t>
  </si>
  <si>
    <t>You are a business analyst. Using the attached sheet for 'Regional sales forecaster', list the first 3 steps to build it and what could go wrong.</t>
  </si>
  <si>
    <t>Clear steps, but assumed a column that does not exist</t>
  </si>
  <si>
    <t>Told it the exact column names and asked it to recheck</t>
  </si>
  <si>
    <t>Rejected</t>
  </si>
  <si>
    <t>screenshot_01.png</t>
  </si>
  <si>
    <t>Region</t>
  </si>
  <si>
    <t>Moving Average MAPE (%)</t>
  </si>
  <si>
    <t>Exponential Smoothing MAPE (%)</t>
  </si>
  <si>
    <t>Linear Regression MAPE (%)</t>
  </si>
  <si>
    <t>Overall Average</t>
  </si>
  <si>
    <t>Month</t>
  </si>
  <si>
    <t>Forecast Method</t>
  </si>
  <si>
    <t>Forecast Sales (INR)</t>
  </si>
  <si>
    <t>Linear Regression</t>
  </si>
  <si>
    <t>Selected Model</t>
  </si>
  <si>
    <t>Overall Back-test MAPE (%)</t>
  </si>
  <si>
    <t>Forecast Period</t>
  </si>
  <si>
    <t>April 2026 - September 2026</t>
  </si>
  <si>
    <t>Review this Python code for a regional sales forecasting project.
The dataset contains 36 months of monthly net sales for 4 regions:
East, North, South, and West.
The project requirements are:
1. Use Moving Average, Exponential Smoothing, and Simple Linear Regression.
2. Back-test on the last 6 known months.
3. Calculate MAPE for each region and method.
4. Select the model based on back-test performance.
5. Use all 36 known months to forecast the next 6 months.
Check my code specifically for:
- data leakage
- incorrect train/test splitting
- incorrect MAPE calculation
- incorrect forecast dates
- incorrect use of the three forecasting methods
- any other logical errors
Do not rewrite the whole project. First identify the problems and explain why they are problems. Then suggest only the necessary corrections.</t>
  </si>
  <si>
    <t>Kept</t>
  </si>
  <si>
    <t>Identified a genuine model-selection mismatch in Step 10, checked for data leakage, train/test splitting and MAPE issues. Also suggested dynamic forecast dates and zero-division protection. Minor issue: it overstated that the recursive moving-average forecasts become exactly flat after three iterations.</t>
  </si>
  <si>
    <t>Updated Step 10 so the final forecast uses the model selected from back-testing instead of always calling Linear Regression. This makes the forecasting pipeline consistent with the model-selection result and prevents a mismatch if another model performs better.
Also changed the hardcoded forecast start date to be derived from the maximum date in the dataset. This makes the forecast horizon dynamic and avoids date errors if the dataset period changes.                                          Added zero-value protection to the MAPE function so that future datasets containing zero actual sales do not produce division-by-zero errors or invalid MAPE values.</t>
  </si>
  <si>
    <t>None</t>
  </si>
  <si>
    <t>Review this Python code for loading and inspecting a regional sales forecasting dataset.
Check whether the Excel file and the "Monthly Sales" sheet are loaded correctly. Verify:
- dataset shape
- column names
- data types
- missing values
- duplicate rows
- regions
- rows per region
- date range
Identify any data-quality or loading issues that I should fix before proceeding with the forecasting model. Do not rewrite the whole project; only point out issues and necessary corrections.</t>
  </si>
  <si>
    <t>Gemini helped verify the dataset structure, including the 144 rows, 5 columns, 4 regions, missing values, duplicate rows, and the 36-month date range. This confirmed that the data was suitable for the forecasting workflow.</t>
  </si>
  <si>
    <t>Used the dataset inspection results to confirm the data was clean and complete, then proceeded with chronological sorting and the 30-month training / 6-month testing split required for the forecasting back-test.</t>
  </si>
  <si>
    <t>AI Evidence/screenshot_03_1.png</t>
  </si>
  <si>
    <t>AI Evidence/screenshot_02_1.jpg
AI Evidence/screenshot_02_2.jpg
AI Evidence/screenshot_02_3.jpg
AI Evidence/screenshot_02_4.jpg
AI Evidence/screenshot_02_5.jpg
AI Evidence/screenshot_02_6.jpg</t>
  </si>
  <si>
    <t>I am building a regional sales forecasting model using 36 months of monthly sales data for four regions: East, North, South, and West.
I am using the following train/test approach:
- First 30 months for training
- Last 6 months for testing
- The data is sorted by region and month before splitting
- The purpose is to back-test Moving Average, Simple Exponential Smoothing, and Simple Linear Regression.
Please review this train/test splitting approach.
Check specifically:
1. Whether the 30-month training and 6-month testing split is appropriate.
2. Whether it avoids data leakage.
3. Whether the split preserves chronological order.
4. Whether the split is applied correctly to each region.
5. Whether there is any risk of overlap between training and testing data.
Do not rewrite the code. Explain the reasoning and mention any necessary improvement.</t>
  </si>
  <si>
    <t>Gemini confirmed that the 30-month training and 6-month testing split is appropriate for a 6-month forecast horizon and helps prevent data leakage. It also identified a structural limitation of using head(30) and tail(6): it assumes each region has exactly 36 rows.</t>
  </si>
  <si>
    <t>Kept the existing 30-month training and 6-month testing split because all four regions were verified to have exactly 36 monthly observations with no missing months. I noted Gemini's structural warning for future datasets but did not change the code for the current dataset.</t>
  </si>
  <si>
    <t>AI Evidence/screenshot_04_1.jpg</t>
  </si>
  <si>
    <t>I am implementing a 3-month Moving Average forecast for my regional sales forecasting project.
I have 30 months of training sales data for each region, and I need to forecast the next 6 months for back-testing.
My function is:
def moving_average_forecast(train_series, forecast_periods, window=3):
    history = list(train_series)
    forecasts = []
    for _ in range(forecast_periods):
        forecast = sum(history[-window:]) / window
        forecasts.append(forecast)
        history.append(forecast)
    return forecasts
Please review this implementation.
Check:
1. Whether this correctly implements a 3-month moving average.
2. Whether the recursive forecasting approach is appropriate for forecasting multiple future months.
3. Whether it accidentally uses test-period actual values.
4. Whether the 6 generated forecasts can be correctly compared with the 6 actual test months.
5. Whether there are any logical or coding issues.
Do not rewrite the whole project. Explain what is correct and mention only necessary improvements.</t>
  </si>
  <si>
    <t>Gemini confirmed that the 3-month moving average calculation and recursive multi-step forecasting were implemented correctly. It also confirmed that only training data and previous forecasts were used, so there was no test-period data leakage. It identified an edge case where fewer than 3 training observations could produce an invalid average.</t>
  </si>
  <si>
    <t>Kept the existing implementation because the current dataset provides 30 training observations for every region, which is more than the required 3-month window. Noted the input-length validation as a possible defensive improvement.</t>
  </si>
  <si>
    <t>AI_Evidence/screenshot_05_1.jpg</t>
  </si>
  <si>
    <t>AI_Evidence/screenshot_08_1.jpg</t>
  </si>
  <si>
    <t>I am implementing Simple Exponential Smoothing for my regional sales forecasting project.
I have 30 months of training sales data for each region and need to forecast the next 6 months for back-testing.
My implementation is:
from statsmodels.tsa.holtwinters import SimpleExpSmoothing
def exponential_smoothing_forecast(train_series, forecast_periods):
    model = SimpleExpSmoothing(
        train_series,
        initialization_method="estimated"
    )
    fitted_model = model.fit(optimized=True)
    forecasts = fitted_model.forecast(forecast_periods)
    return forecasts.tolist()
Please review this implementation.
Check:
1. Whether this correctly implements Simple Exponential Smoothing.
2. Whether initialization_method="estimated" is appropriate.
3. Whether optimized=True is appropriate.
4. Whether forecasting 6 future periods is correct.
5. Whether the implementation uses only the training data during back-testing.
6. Whether there are any logical or coding issues.
Do not rewrite the whole project. Explain what is correct and mention only necessary improvements.</t>
  </si>
  <si>
    <t>Gemini confirmed that the Simple Exponential Smoothing implementation was correct and that the initialization and parameter optimization settings were appropriate. It also confirmed that only training data was used during back-testing and identified possible index and input-type warnings as minor issues.</t>
  </si>
  <si>
    <t>Kept the existing implementation because it executed correctly on the current dataset without affecting the forecasting results. Noted the input-type and index handling suggestions as possible future improvements.</t>
  </si>
  <si>
    <t>AI_Evidence/screenshot_06_1.png</t>
  </si>
  <si>
    <t>I am implementing Simple Linear Regression for my regional sales forecasting project.
I have 30 months of training sales data for each region and need to forecast the next 6 months for back-testing.
My implementation is:
from sklearn.linear_model import LinearRegression
def regression_forecast(train_series, forecast_periods):
    X_train = np.arange(1, len(train_series) + 1).reshape(-1, 1)
    y_train = np.array(train_series)
    model = LinearRegression()
    model.fit(X_train, y_train)
    X_future = np.arange(
        len(train_series) + 1,
        len(train_series) + forecast_periods + 1
    ).reshape(-1, 1)
    forecasts = model.predict(X_future)
    return forecasts.tolist()
Please review this implementation.
Check:
1. Whether this correctly implements simple linear regression for time-based forecasting.
2. Whether using a sequential time index as the predictor is appropriate.
3. Whether the future time indices are generated correctly for 6 months.
4. Whether only the training data is used during back-testing.
5. Whether there are any logical or coding issues.
Do not rewrite the whole project. Explain what is correct and mention only necessary improvements.</t>
  </si>
  <si>
    <t>Gemini confirmed that the Simple Linear Regression implementation correctly uses a sequential time index and generates the 6 future time points without overlap or off-by-one errors. It also confirmed that the back-test is free from data leakage. It identified negative forecasts and input-type handling as possible edge cases.</t>
  </si>
  <si>
    <t>Kept the existing implementation because the current regional sales data produces valid positive forecasts and the model runs correctly. Noted the non-negativity clipping and input validation suggestions as possible defensive improvements.</t>
  </si>
  <si>
    <t>AI Evidence/screenshot_07_1.jpg</t>
  </si>
  <si>
    <t>AI Evidence/screenshot_09_1.jpg</t>
  </si>
  <si>
    <t>I am calculating Mean Absolute Percentage Error (MAPE) to evaluate three forecasting methods in my regional sales forecasting project.
My current function is:
def calculate_mape(actual, forecast):
    actual = np.array(actual)
    forecast = np.array(forecast)
    return np.mean(
        np.abs((actual - forecast) / actual)
    ) * 100
I use this function to compare Moving Average, Simple Exponential Smoothing, and Simple Linear Regression forecasts against the actual values from the 6-month test period.
Please review this MAPE calculation.
Check:
1. Whether the formula is correct.
2. Whether it is appropriate for comparing the three forecasting methods.
3. What happens if actual sales contain zero values.
4. Whether I should make any change to make the calculation safer.
5. Whether the MAPE result can be averaged across the four regions for overall model comparison.
Do not rewrite the whole project. Explain the issue and suggest only the necessary correction.</t>
  </si>
  <si>
    <t>Gemini confirmed that the MAPE formula was mathematically correct and appropriate for comparing the three forecasting methods. It identified division by zero as an important issue if actual sales are zero and suggested protecting the calculation.</t>
  </si>
  <si>
    <t>Updated the MAPE function to ignore zero actual sales values before calculating the percentage error. This prevents division-by-zero errors and makes the accuracy calculation safer.</t>
  </si>
  <si>
    <t>I have completed back-testing for my regional sales forecasting project using three methods:
1. 3-month Moving Average
2. Simple Exponential Smoothing
3. Simple Linear Regression
The MAPE results for each region are:
East:
- Moving Average: 7.78%
- Exponential Smoothing: 7.62%
- Linear Regression: 6.39%
North:
- Moving Average: 10.39%
- Exponential Smoothing: 7.57%
- Linear Regression: 6.96%
South:
- Moving Average: 16.25%
- Exponential Smoothing: 16.23%
- Linear Regression: 13.57%
West:
- Moving Average: 9.22%
- Exponential Smoothing: 9.57%
- Linear Regression: 8.17%
Overall average MAPE:
- Moving Average: 10.91%
- Exponential Smoothing: 10.25%
- Linear Regression: 8.77%
Please review these results and explain:
1. How the overall MAPE should be calculated.
2. How the model should be selected from these results.
3. Whether selecting the model with the lowest overall MAPE is reasonable for this project.
4. What the regional differences in MAPE tell us.
5. What limitations I should mention when interpreting this model selection.
Do not recommend changing the forecasting methods. Focus only on interpreting and validating the back-test results.</t>
  </si>
  <si>
    <t>Gemini verified the overall MAPE calculations and confirmed that the selected model was based on the lowest average back-test MAPE. It also helped interpret the differences in error across the four regions and highlighted limitations such as seasonality and the single test window.</t>
  </si>
  <si>
    <t>Kept the existing model-selection approach because the overall MAPE calculation and selection logic were already correct. Used Gemini's interpretation and limitations to support the explanation of the back-test results in the project documentation.</t>
  </si>
  <si>
    <t>I have created regional sales forecast charts for my project using matplotlib.
For each region, the chart contains:
- Historical monthly sales
- The next 6 months of forecasted sales
- A dashed line for the forecast series
- A vertical marker showing where the forecast period begins
- Region name as the chart title
- Month on the x-axis
- Net Sales (INR) on the y-axis
Please review this chart design from a business presentation perspective.
Tell me:
1. Whether the chart clearly distinguishes historical and forecast sales.
2. Whether the forecast start marker is useful.
3. Whether the chart title and axis labels are appropriate.
4. Whether there are any readability issues for a sales review.
5. What small improvements you would recommend without changing the underlying forecasting model.
Do not rewrite the code. Focus on chart clarity and business presentation.</t>
  </si>
  <si>
    <t>Gemini confirmed that the chart clearly distinguishes historical and forecast sales using different line styles and that the forecast start marker improves interpretation. It also identified readability issues such as crowded month labels, large INR values, and the lack of direct forecast-value annotations.</t>
  </si>
  <si>
    <t>Kept the existing chart because it already clearly shows historical and forecast sales and is suitable for the dashboard. Noted Gemini's suggestions for currency formatting, date spacing, and forecast-value annotations as possible presentation improvements.</t>
  </si>
  <si>
    <t>AI Evidence/screenshot_10_1.jpg</t>
  </si>
  <si>
    <t>AI Evidence/screenshot_11_1.jpg</t>
  </si>
  <si>
    <t>AI Evidence/screenshot_12_1.jpg</t>
  </si>
  <si>
    <t>AI Evidence/screenshot_13_1.jpg</t>
  </si>
  <si>
    <t>AI Evidence/screenshot_14_1.jpg</t>
  </si>
  <si>
    <t>AI Evidence/screenshot_15_1.jpg</t>
  </si>
  <si>
    <t>I have completed the back-testing stage of my regional sales forecasting project.
The dataset contains 36 months of sales data for each of four regions: East, North, South, and West.
The forecasting workflow is:
- Use the first 30 months for back-testing.
- Test Moving Average, Simple Exponential Smoothing, and Simple Linear Regression on the last 6 known months.
- Select the model with the lowest overall MAPE.
- After model selection, use all 36 known months of data for the final forecast.
- Forecast the next 6 months for every region.
Please review this final forecasting approach.
Check specifically:
1. Whether using all 36 known months after back-testing is correct.
2. Whether the final model should be the model selected from back-testing.
3. Whether using the complete historical dataset causes any data leakage at this stage.
4. Whether the final 6-month forecast should be generated separately for each region.
5. What should be documented in the project to explain this final forecasting step.
Do not rewrite the code. Focus on validating the methodology and identifying any issues.</t>
  </si>
  <si>
    <t>Gemini confirmed that refitting the selected forecasting model on all 36 known months before generating the final 6-month forecast is methodologically correct. It also explained why forecasting should be performed separately for each region and highlighted the need to document the two-stage back-testing and final forecasting process.</t>
  </si>
  <si>
    <t>Kept the existing final forecasting approach because it already uses the complete 36 months of known data after model selection. Used Gemini's explanation to document the back-testing stage, final forecasting stage, and regional forecasting methodology.</t>
  </si>
  <si>
    <t>AI Evidence/screenshot_16_1.jpg</t>
  </si>
  <si>
    <t>Gemini correctly identified that the final forecast was hardcoded to Linear Regression even though the best model was selected dynamically using back-test MAPE. It explained that this could create a mismatch between the model reported in the output and the model actually used.</t>
  </si>
  <si>
    <t>Updated Step 10 to dynamically select the forecasting function using best_model instead of always calling Linear Regression. This ensures that the final forecast always uses the model that performed best during back-testing.</t>
  </si>
  <si>
    <t>I have a regional sales forecasting project where I compare three models using back-test MAPE:
- Moving Average
- Simple Exponential Smoothing
- Simple Linear Regression
After calculating the overall MAPE, I select the model dynamically using:
best_model = overall_mape.idxmin()
However, my final forecasting code currently uses:
forecasts = regression_forecast(
    region_data["net_sales_inr"].values,
    forecast_periods=6
)
This means the final forecast always uses Linear Regression even if another model becomes the selected model.
Please explain:
1. Why this creates a mismatch in the forecasting pipeline.
2. How I can make the final forecast automatically use the model stored in best_model.
3. Whether this change is important for correctness.
4. Suggest only the necessary code change, not a complete rewrite.</t>
  </si>
  <si>
    <t>Gemini correctly identified that the hardcoded forecast start date could create gaps or overlap with actual data when the dataset is updated. It suggested deriving the forecast period from the maximum available month and also making the chart forecast-start marker dynamic.</t>
  </si>
  <si>
    <t>In my regional sales forecasting project, the final forecast period is currently hardcoded as:
future_months = pd.date_range(
    start="2026-04-01",
    periods=6,
    freq="MS"
)
The current dataset ends in March 2026, so this produces the correct April–September 2026 forecast dates.
Please review this approach and explain:
1. Why hardcoding "2026-04-01" can be a problem if the dataset is updated later.
2. How I can generate the next 6 months dynamically from the maximum month in the dataset.
3. Whether this change affects the forecast values or only the forecast dates.
4. Whether the chart's forecast-start marker should also be made dynamic.
Suggest only the necessary code changes and do not rewrite the entire project.</t>
  </si>
  <si>
    <t>Changed the final forecast dates to start one month after the maximum date in the dataset and generated the next 6 months dynamically. This prevents date errors if the dataset period changes and keeps the forecast horizon aligned with the available historical data.</t>
  </si>
  <si>
    <t>I have built a Streamlit dashboard for my regional sales forecasting project.
The dashboard:
- Loads the regional monthly sales data.
- Lets the user select a region from a sidebar.
- Displays the selected region's forecast method.
- Displays the total forecast sales for the next 6 months.
- Shows a historical vs forecast sales chart.
- Shows the 6-month forecast table.
- Shows the model accuracy comparison using MAPE.
- Covers East, North, South, and West.
Please review this dashboard structure from a user and business perspective.
Check:
1. Whether the dashboard contains the key information required for a sales review.
2. Whether the region selector is useful.
3. Whether the KPIs are understandable.
4. Whether the forecast table and chart complement each other.
5. Whether the MAPE comparison is useful.
6. Suggest only small improvements that would improve clarity or usability.
Do not rewrite the application code.</t>
  </si>
  <si>
    <t>Kept the existing dashboard because it already provides the required forecast information and works correctly for all four regions. Noted the suggested usability improvements as possible future enhancements.</t>
  </si>
  <si>
    <t>Gemini reviewed the dashboard structure and confirmed that it presents the key forecasting information through the region selector, KPIs, forecast chart, forecast table, and MAPE comparison. It also suggested usability improvements such as clearer currency formatting and additional context for the forecast KPI.</t>
  </si>
  <si>
    <t>I have completed my regional sales forecasting project and exported two result files:
1. backtest_results.csv
2. forecast_output.csv
The expected results are:
Backtest results:
- 4 regional rows plus an Overall Average row
- MAPE values for Moving Average, Exponential Smoothing, and Linear Regression
Forecast output:
- 24 rows total
- 4 regions: East, North, South, West
- 6 forecast months for each region
- Forecast period: April 2026 to September 2026
- Columns: month, region, forecast_method, forecast_sales_inr
Please review these expected output structures and tell me what I should verify before considering the forecasting results ready for submission.
Check:
1. Number of rows and columns
2. Regional coverage
3. Six-month forecast horizon
4. Whether the selected forecasting method should be consistent across the forecast output
5. Whether the back-test and forecast outputs are logically consistent
6. Any important validation checks I should perform
Do not rewrite the project. Give me a practical verification checklist.</t>
  </si>
  <si>
    <t>Gemini provided a practical validation checklist for the exported back-test and forecast files, covering row and column structure, regional coverage, six-month dates, forecast-method consistency, numeric safety, and logical consistency of the results.</t>
  </si>
  <si>
    <t>Ran validation checks on backtest_results.csv and forecast_output.csv to confirm the expected shapes, four regional coverage, six forecast months per region, consistent forecast method, and absence of invalid forecast values before using the results in the completed workbook and dashboard.</t>
  </si>
  <si>
    <t>I have completed a regional sales forecasting project using Simple Linear Regression, selected after back-testing three methods.
The final 6-month forecast for April 2026 to September 2026 is:
East:
Apr ₹38.35 lakh
May ₹38.76 lakh
Jun ₹39.17 lakh
Jul ₹39.58 lakh
Aug ₹40.00 lakh
Sep ₹40.41 lakh
North:
Apr ₹67.35 lakh
May ₹68.09 lakh
Jun ₹68.82 lakh
Jul ₹69.55 lakh
Aug ₹70.29 lakh
Sep ₹71.02 lakh
South:
Apr ₹89.66 lakh
May ₹90.66 lakh
Jun ₹91.65 lakh
Jul ₹92.65 lakh
Aug ₹93.64 lakh
Sep ₹94.64 lakh
West:
Apr ₹96.85 lakh
May ₹97.89 lakh
Jun ₹98.93 lakh
Jul ₹99.97 lakh
Aug ₹101.01 lakh
Sep ₹102.06 lakh
The back-test MAPE values for the selected Linear Regression model are:
East 6.39%, North 6.96%, South 13.57%, West 8.17%, with an overall average MAPE of 8.77%.
Please analyse these results from a business perspective.
Explain:
1. Which region has the highest and lowest forecast sales.
2. Which region shows the strongest forecast growth over the six months.
3. What the MAPE results suggest about forecast reliability by region.
4. What recommendations a sales manager could make based on these results.
5. What limitations should be mentioned when presenting these forecasts to management.
Keep the analysis practical and concise. Do not change the forecasting model or code.</t>
  </si>
  <si>
    <t>Gemini translated the forecast and MAPE results into practical business insights, including regional sales levels, projected growth, forecast uncertainty, and limitations of the linear regression approach. It also highlighted that the model does not include seasonality or operational drivers such as orders and active sales reps.</t>
  </si>
  <si>
    <t>Kept the existing forecast and used Gemini's analysis to support the business-insight and limitation sections of the project report. No changes were made to the forecasting code because the prompt specifically asked for interpretation rather than model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</si>
</sst>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mmm\-yyyy"/>
  </numFmts>
  <fonts count="17">
    <font>
      <sz val="10"/>
      <name val="Arial"/>
      <charset val="1"/>
    </font>
    <font>
      <b/>
      <sz val="10"/>
      <name val="Arial"/>
      <charset val="1"/>
    </font>
    <font>
      <i/>
      <sz val="9"/>
      <color rgb="FF555555"/>
      <name val="Arial"/>
      <charset val="1"/>
    </font>
    <font>
      <b/>
      <sz val="10"/>
      <color rgb="FFFFFFFF"/>
      <name val="Arial"/>
      <charset val="1"/>
    </font>
    <font>
      <i/>
      <sz val="10"/>
      <color rgb="FF666666"/>
      <name val="Arial"/>
      <charset val="1"/>
    </font>
    <font>
      <sz val="11"/>
      <color theme="1"/>
      <name val="Calibri"/>
      <charset val="1"/>
    </font>
    <font>
      <b/>
      <sz val="14"/>
      <color rgb="FF1F4E5A"/>
      <name val="Arial"/>
      <charset val="1"/>
    </font>
    <font>
      <i/>
      <sz val="10"/>
      <color rgb="FF555555"/>
      <name val="Arial"/>
      <charset val="1"/>
    </font>
    <font>
      <b/>
      <sz val="12"/>
      <color rgb="FF1F4E5A"/>
      <name val="Arial"/>
      <charset val="1"/>
    </font>
    <font>
      <b/>
      <sz val="10"/>
      <color rgb="FFFFFFFF"/>
      <name val="Arial"/>
      <family val="2"/>
    </font>
    <font>
      <sz val="10"/>
      <color rgb="FF000000"/>
      <name val="Arial"/>
      <family val="2"/>
    </font>
    <font>
      <b/>
      <sz val="10"/>
      <color rgb="FF000000"/>
      <name val="Arial"/>
      <family val="2"/>
    </font>
    <font>
      <sz val="10"/>
      <name val="Arial"/>
      <family val="2"/>
    </font>
    <font>
      <b/>
      <sz val="11"/>
      <color rgb="FFFFFFFF"/>
      <name val="Carlito"/>
    </font>
    <font>
      <sz val="11"/>
      <color rgb="FF000000"/>
      <name val="Carlito"/>
    </font>
    <font>
      <b/>
      <sz val="10"/>
      <name val="Arial"/>
      <family val="2"/>
    </font>
    <font>
      <sz val="11"/>
      <color theme="1"/>
      <name val="Calibri"/>
      <family val="2"/>
    </font>
  </fonts>
  <fills count="7">
    <fill>
      <patternFill patternType="none"/>
    </fill>
    <fill>
      <patternFill patternType="gray125"/>
    </fill>
    <fill>
      <patternFill patternType="solid">
        <fgColor rgb="FF1F4E5A"/>
        <bgColor rgb="FF003366"/>
      </patternFill>
    </fill>
    <fill>
      <patternFill patternType="solid">
        <fgColor rgb="FFFFF2CC"/>
        <bgColor rgb="FFE8F1F2"/>
      </patternFill>
    </fill>
    <fill>
      <patternFill patternType="solid">
        <fgColor rgb="FFE8F1F2"/>
        <bgColor rgb="FFFFFFFF"/>
      </patternFill>
    </fill>
    <fill>
      <patternFill patternType="solid">
        <fgColor rgb="FF1F4E5A"/>
        <bgColor rgb="FF000000"/>
      </patternFill>
    </fill>
    <fill>
      <patternFill patternType="solid">
        <fgColor rgb="FF1F4E78"/>
        <bgColor rgb="FF000000"/>
      </patternFill>
    </fill>
  </fills>
  <borders count="2">
    <border>
      <left/>
      <right/>
      <top/>
      <bottom/>
      <diagonal/>
    </border>
    <border>
      <left style="thin">
        <color rgb="FFC9D3D6"/>
      </left>
      <right style="thin">
        <color rgb="FFC9D3D6"/>
      </right>
      <top style="thin">
        <color rgb="FFC9D3D6"/>
      </top>
      <bottom style="thin">
        <color rgb="FFC9D3D6"/>
      </bottom>
      <diagonal/>
    </border>
  </borders>
  <cellStyleXfs count="1">
    <xf numFmtId="0" fontId="0" fillId="0" borderId="0"/>
  </cellStyleXfs>
  <cellXfs count="34">
    <xf numFmtId="0" fontId="0" fillId="0" borderId="0" xfId="0"/>
    <xf numFmtId="0" fontId="1" fillId="0" borderId="0" xfId="0" applyFont="1"/>
    <xf numFmtId="0" fontId="2"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164" fontId="4" fillId="0" borderId="1" xfId="0" applyNumberFormat="1" applyFont="1" applyBorder="1" applyAlignment="1">
      <alignment vertical="top" wrapText="1"/>
    </xf>
    <xf numFmtId="0" fontId="5" fillId="0" borderId="1" xfId="0" applyFont="1" applyBorder="1" applyAlignment="1">
      <alignment vertical="top" wrapText="1"/>
    </xf>
    <xf numFmtId="164" fontId="5" fillId="3" borderId="1" xfId="0" applyNumberFormat="1" applyFont="1" applyFill="1" applyBorder="1" applyAlignment="1">
      <alignment vertical="top" wrapText="1"/>
    </xf>
    <xf numFmtId="0" fontId="5" fillId="3" borderId="1" xfId="0" applyFont="1" applyFill="1" applyBorder="1" applyAlignment="1">
      <alignment vertical="top" wrapText="1"/>
    </xf>
    <xf numFmtId="164" fontId="5" fillId="0" borderId="0" xfId="0" applyNumberFormat="1" applyFont="1"/>
    <xf numFmtId="0" fontId="0" fillId="0" borderId="0" xfId="0" applyFont="1"/>
    <xf numFmtId="3" fontId="5" fillId="0" borderId="0" xfId="0" applyNumberFormat="1" applyFont="1"/>
    <xf numFmtId="0" fontId="6" fillId="0" borderId="0" xfId="0" applyFont="1"/>
    <xf numFmtId="0" fontId="7" fillId="0" borderId="0" xfId="0" applyFont="1"/>
    <xf numFmtId="0" fontId="1" fillId="4" borderId="1" xfId="0" applyFont="1" applyFill="1" applyBorder="1" applyAlignment="1">
      <alignment vertical="top" wrapText="1"/>
    </xf>
    <xf numFmtId="0" fontId="0" fillId="0" borderId="1" xfId="0" applyFont="1" applyBorder="1" applyAlignment="1">
      <alignment vertical="top" wrapText="1"/>
    </xf>
    <xf numFmtId="0" fontId="8" fillId="0" borderId="0" xfId="0" applyFont="1"/>
    <xf numFmtId="0" fontId="9" fillId="5" borderId="0" xfId="0" applyFont="1" applyFill="1" applyAlignment="1">
      <alignment horizontal="center" vertical="center" wrapText="1"/>
    </xf>
    <xf numFmtId="0" fontId="10" fillId="0" borderId="0" xfId="0" applyFont="1"/>
    <xf numFmtId="0" fontId="10" fillId="0" borderId="0" xfId="0" applyFont="1" applyAlignment="1">
      <alignment vertical="center"/>
    </xf>
    <xf numFmtId="2" fontId="10" fillId="0" borderId="0" xfId="0" applyNumberFormat="1" applyFont="1" applyAlignment="1">
      <alignment vertical="center"/>
    </xf>
    <xf numFmtId="0" fontId="11" fillId="0" borderId="0" xfId="0" applyFont="1" applyAlignment="1">
      <alignment vertical="center"/>
    </xf>
    <xf numFmtId="2" fontId="11" fillId="0" borderId="0" xfId="0" applyNumberFormat="1" applyFont="1" applyAlignment="1">
      <alignment vertical="center"/>
    </xf>
    <xf numFmtId="0" fontId="13" fillId="6" borderId="0" xfId="0" applyFont="1" applyFill="1" applyAlignment="1">
      <alignment horizontal="center" vertical="center"/>
    </xf>
    <xf numFmtId="165" fontId="14" fillId="0" borderId="0" xfId="0" applyNumberFormat="1" applyFont="1"/>
    <xf numFmtId="0" fontId="14" fillId="0" borderId="0" xfId="0" applyFont="1"/>
    <xf numFmtId="4" fontId="14" fillId="0" borderId="0" xfId="0" applyNumberFormat="1" applyFont="1"/>
    <xf numFmtId="0" fontId="15" fillId="0" borderId="0" xfId="0" applyFont="1" applyAlignment="1">
      <alignment horizontal="center" vertical="center" wrapText="1"/>
    </xf>
    <xf numFmtId="17" fontId="15" fillId="0" borderId="0" xfId="0" applyNumberFormat="1" applyFont="1" applyAlignment="1">
      <alignment horizontal="right" vertical="center" wrapText="1"/>
    </xf>
    <xf numFmtId="0" fontId="12" fillId="0" borderId="0" xfId="0" applyFont="1" applyAlignment="1">
      <alignment vertical="center" wrapText="1"/>
    </xf>
    <xf numFmtId="4" fontId="12" fillId="0" borderId="0" xfId="0" applyNumberFormat="1" applyFont="1" applyAlignment="1">
      <alignment horizontal="right" vertical="center" wrapText="1"/>
    </xf>
    <xf numFmtId="0" fontId="15" fillId="0" borderId="0" xfId="0" applyFont="1"/>
    <xf numFmtId="0" fontId="15" fillId="0" borderId="0" xfId="0" applyFont="1" applyAlignment="1">
      <alignment horizontal="center"/>
    </xf>
    <xf numFmtId="0" fontId="16" fillId="3" borderId="1" xfId="0" applyFont="1" applyFill="1" applyBorder="1" applyAlignment="1">
      <alignment vertical="top"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2CC"/>
      <rgbColor rgb="00E8F1F2"/>
      <rgbColor rgb="00660066"/>
      <rgbColor rgb="00FF8080"/>
      <rgbColor rgb="000066CC"/>
      <rgbColor rgb="00C9D3D6"/>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66"/>
      <rgbColor rgb="00969696"/>
      <rgbColor rgb="00003366"/>
      <rgbColor rgb="00339966"/>
      <rgbColor rgb="00003300"/>
      <rgbColor rgb="00333300"/>
      <rgbColor rgb="00993300"/>
      <rgbColor rgb="00993366"/>
      <rgbColor rgb="00555555"/>
      <rgbColor rgb="001F4E5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election activeCell="B18" sqref="B18"/>
    </sheetView>
  </sheetViews>
  <sheetFormatPr defaultColWidth="8.6640625" defaultRowHeight="13.2"/>
  <cols>
    <col min="1" max="1" width="26" customWidth="1"/>
    <col min="2" max="2" width="95" customWidth="1"/>
    <col min="3" max="3" width="10" customWidth="1"/>
    <col min="4" max="4" width="22" customWidth="1"/>
    <col min="5" max="6" width="20" customWidth="1"/>
    <col min="7" max="7" width="16" customWidth="1"/>
  </cols>
  <sheetData>
    <row r="1" spans="1:2" ht="17.399999999999999">
      <c r="A1" s="12" t="s">
        <v>0</v>
      </c>
    </row>
    <row r="2" spans="1:2">
      <c r="A2" s="13" t="s">
        <v>1</v>
      </c>
    </row>
    <row r="4" spans="1:2" ht="18" customHeight="1">
      <c r="A4" s="14" t="s">
        <v>2</v>
      </c>
      <c r="B4" s="15" t="s">
        <v>3</v>
      </c>
    </row>
    <row r="5" spans="1:2" ht="18" customHeight="1">
      <c r="A5" s="14" t="s">
        <v>4</v>
      </c>
      <c r="B5" s="15" t="s">
        <v>5</v>
      </c>
    </row>
    <row r="6" spans="1:2" ht="18" customHeight="1">
      <c r="A6" s="14" t="s">
        <v>6</v>
      </c>
      <c r="B6" s="15" t="s">
        <v>7</v>
      </c>
    </row>
    <row r="7" spans="1:2" ht="27.75" customHeight="1">
      <c r="A7" s="14" t="s">
        <v>8</v>
      </c>
      <c r="B7" s="15" t="s">
        <v>9</v>
      </c>
    </row>
    <row r="8" spans="1:2" ht="69.75" customHeight="1">
      <c r="A8" s="14" t="s">
        <v>10</v>
      </c>
      <c r="B8" s="15" t="s">
        <v>11</v>
      </c>
    </row>
    <row r="9" spans="1:2" ht="18" customHeight="1">
      <c r="A9" s="14" t="s">
        <v>12</v>
      </c>
      <c r="B9" s="15" t="s">
        <v>13</v>
      </c>
    </row>
    <row r="10" spans="1:2" ht="27.75" customHeight="1">
      <c r="A10" s="14" t="s">
        <v>14</v>
      </c>
      <c r="B10" s="15" t="s">
        <v>15</v>
      </c>
    </row>
    <row r="11" spans="1:2" ht="42" customHeight="1">
      <c r="A11" s="14" t="s">
        <v>16</v>
      </c>
      <c r="B11" s="15" t="s">
        <v>17</v>
      </c>
    </row>
    <row r="12" spans="1:2" ht="18" customHeight="1">
      <c r="A12" s="14" t="s">
        <v>18</v>
      </c>
      <c r="B12" s="15" t="s">
        <v>19</v>
      </c>
    </row>
    <row r="13" spans="1:2" ht="27.75" customHeight="1">
      <c r="A13" s="14" t="s">
        <v>20</v>
      </c>
      <c r="B13" s="15" t="s">
        <v>21</v>
      </c>
    </row>
    <row r="14" spans="1:2" ht="42" customHeight="1">
      <c r="A14" s="14" t="s">
        <v>22</v>
      </c>
      <c r="B14" s="15" t="s">
        <v>23</v>
      </c>
    </row>
    <row r="16" spans="1:2" ht="15.6">
      <c r="A16" s="16" t="s">
        <v>24</v>
      </c>
    </row>
    <row r="17" spans="1:7">
      <c r="A17" s="3" t="s">
        <v>25</v>
      </c>
      <c r="B17" s="3" t="s">
        <v>26</v>
      </c>
      <c r="C17" s="3" t="s">
        <v>27</v>
      </c>
      <c r="D17" s="3" t="s">
        <v>28</v>
      </c>
      <c r="E17" s="3" t="s">
        <v>29</v>
      </c>
      <c r="F17" s="3" t="s">
        <v>30</v>
      </c>
      <c r="G17" s="3" t="s">
        <v>31</v>
      </c>
    </row>
    <row r="18" spans="1:7" ht="42" customHeight="1">
      <c r="A18" s="6" t="s">
        <v>32</v>
      </c>
      <c r="B18" s="6" t="s">
        <v>33</v>
      </c>
      <c r="C18" s="6">
        <v>8</v>
      </c>
      <c r="D18" s="6" t="s">
        <v>34</v>
      </c>
      <c r="E18" s="6" t="s">
        <v>35</v>
      </c>
      <c r="F18" s="6" t="s">
        <v>36</v>
      </c>
      <c r="G18" s="6" t="s">
        <v>37</v>
      </c>
    </row>
    <row r="19" spans="1:7" ht="42" customHeight="1">
      <c r="A19" s="6" t="s">
        <v>38</v>
      </c>
      <c r="B19" s="6" t="s">
        <v>39</v>
      </c>
      <c r="C19" s="6">
        <v>7</v>
      </c>
      <c r="D19" s="6" t="s">
        <v>40</v>
      </c>
      <c r="E19" s="6" t="s">
        <v>41</v>
      </c>
      <c r="F19" s="6" t="s">
        <v>42</v>
      </c>
      <c r="G19" s="6" t="s">
        <v>43</v>
      </c>
    </row>
    <row r="20" spans="1:7" ht="42" customHeight="1">
      <c r="A20" s="6" t="s">
        <v>44</v>
      </c>
      <c r="B20" s="6" t="s">
        <v>45</v>
      </c>
      <c r="C20" s="6">
        <v>5</v>
      </c>
      <c r="D20" s="6" t="s">
        <v>46</v>
      </c>
      <c r="E20" s="6" t="s">
        <v>47</v>
      </c>
      <c r="F20" s="6" t="s">
        <v>48</v>
      </c>
      <c r="G20" s="6" t="s">
        <v>49</v>
      </c>
    </row>
    <row r="21" spans="1:7" ht="42" customHeight="1">
      <c r="A21" s="6" t="s">
        <v>50</v>
      </c>
      <c r="B21" s="6" t="s">
        <v>51</v>
      </c>
      <c r="C21" s="6">
        <v>6</v>
      </c>
      <c r="D21" s="6" t="s">
        <v>52</v>
      </c>
      <c r="E21" s="6" t="s">
        <v>53</v>
      </c>
      <c r="F21" s="6" t="s">
        <v>54</v>
      </c>
      <c r="G21" s="6" t="s">
        <v>55</v>
      </c>
    </row>
    <row r="22" spans="1:7" ht="42" customHeight="1">
      <c r="A22" s="6" t="s">
        <v>56</v>
      </c>
      <c r="B22" s="6" t="s">
        <v>57</v>
      </c>
      <c r="C22" s="6">
        <v>4</v>
      </c>
      <c r="D22" s="6" t="s">
        <v>58</v>
      </c>
      <c r="E22" s="6" t="s">
        <v>59</v>
      </c>
      <c r="F22" s="6" t="s">
        <v>60</v>
      </c>
      <c r="G22" s="6" t="s">
        <v>55</v>
      </c>
    </row>
    <row r="23" spans="1:7">
      <c r="A23" s="1" t="s">
        <v>61</v>
      </c>
      <c r="C23" s="1">
        <f>SUM(C18:C22)</f>
        <v>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5"/>
  <sheetViews>
    <sheetView workbookViewId="0">
      <pane ySplit="1" topLeftCell="A2" activePane="bottomLeft" state="frozen"/>
      <selection pane="bottomLeft"/>
    </sheetView>
  </sheetViews>
  <sheetFormatPr defaultColWidth="8.6640625" defaultRowHeight="13.2"/>
  <cols>
    <col min="1" max="1" width="12" customWidth="1"/>
    <col min="2" max="2" width="10" customWidth="1"/>
    <col min="3" max="3" width="15" customWidth="1"/>
    <col min="4" max="4" width="10" customWidth="1"/>
    <col min="5" max="5" width="19" customWidth="1"/>
  </cols>
  <sheetData>
    <row r="1" spans="1:5">
      <c r="A1" s="3" t="s">
        <v>62</v>
      </c>
      <c r="B1" s="3" t="s">
        <v>63</v>
      </c>
      <c r="C1" s="3" t="s">
        <v>64</v>
      </c>
      <c r="D1" s="3" t="s">
        <v>65</v>
      </c>
      <c r="E1" s="3" t="s">
        <v>66</v>
      </c>
    </row>
    <row r="2" spans="1:5" ht="14.4">
      <c r="A2" s="9">
        <v>45017</v>
      </c>
      <c r="B2" s="10" t="s">
        <v>67</v>
      </c>
      <c r="C2" s="11">
        <v>3858002</v>
      </c>
      <c r="D2">
        <v>3195</v>
      </c>
      <c r="E2">
        <v>35</v>
      </c>
    </row>
    <row r="3" spans="1:5" ht="14.4">
      <c r="A3" s="9">
        <v>45047</v>
      </c>
      <c r="B3" s="10" t="s">
        <v>67</v>
      </c>
      <c r="C3" s="11">
        <v>4024910</v>
      </c>
      <c r="D3">
        <v>3169</v>
      </c>
      <c r="E3">
        <v>57</v>
      </c>
    </row>
    <row r="4" spans="1:5" ht="14.4">
      <c r="A4" s="9">
        <v>45078</v>
      </c>
      <c r="B4" s="10" t="s">
        <v>67</v>
      </c>
      <c r="C4" s="11">
        <v>3711044</v>
      </c>
      <c r="D4">
        <v>3139</v>
      </c>
      <c r="E4">
        <v>46</v>
      </c>
    </row>
    <row r="5" spans="1:5" ht="14.4">
      <c r="A5" s="9">
        <v>45108</v>
      </c>
      <c r="B5" s="10" t="s">
        <v>67</v>
      </c>
      <c r="C5" s="11">
        <v>3827138</v>
      </c>
      <c r="D5">
        <v>3113</v>
      </c>
      <c r="E5">
        <v>49</v>
      </c>
    </row>
    <row r="6" spans="1:5" ht="14.4">
      <c r="A6" s="9">
        <v>45139</v>
      </c>
      <c r="B6" s="10" t="s">
        <v>67</v>
      </c>
      <c r="C6" s="11">
        <v>4350190</v>
      </c>
      <c r="D6">
        <v>3412</v>
      </c>
      <c r="E6">
        <v>48</v>
      </c>
    </row>
    <row r="7" spans="1:5" ht="14.4">
      <c r="A7" s="9">
        <v>45170</v>
      </c>
      <c r="B7" s="10" t="s">
        <v>67</v>
      </c>
      <c r="C7" s="11">
        <v>4094909</v>
      </c>
      <c r="D7">
        <v>3306</v>
      </c>
      <c r="E7">
        <v>36</v>
      </c>
    </row>
    <row r="8" spans="1:5" ht="14.4">
      <c r="A8" s="9">
        <v>45200</v>
      </c>
      <c r="B8" s="10" t="s">
        <v>67</v>
      </c>
      <c r="C8" s="11">
        <v>5787548</v>
      </c>
      <c r="D8">
        <v>4660</v>
      </c>
      <c r="E8">
        <v>48</v>
      </c>
    </row>
    <row r="9" spans="1:5" ht="14.4">
      <c r="A9" s="9">
        <v>45231</v>
      </c>
      <c r="B9" s="10" t="s">
        <v>67</v>
      </c>
      <c r="C9" s="11">
        <v>5863428</v>
      </c>
      <c r="D9">
        <v>5171</v>
      </c>
      <c r="E9">
        <v>36</v>
      </c>
    </row>
    <row r="10" spans="1:5" ht="14.4">
      <c r="A10" s="9">
        <v>45261</v>
      </c>
      <c r="B10" s="10" t="s">
        <v>67</v>
      </c>
      <c r="C10" s="11">
        <v>5031596</v>
      </c>
      <c r="D10">
        <v>3936</v>
      </c>
      <c r="E10">
        <v>43</v>
      </c>
    </row>
    <row r="11" spans="1:5" ht="14.4">
      <c r="A11" s="9">
        <v>45292</v>
      </c>
      <c r="B11" s="10" t="s">
        <v>67</v>
      </c>
      <c r="C11" s="11">
        <v>4599217</v>
      </c>
      <c r="D11">
        <v>3948</v>
      </c>
      <c r="E11">
        <v>37</v>
      </c>
    </row>
    <row r="12" spans="1:5" ht="14.4">
      <c r="A12" s="9">
        <v>45323</v>
      </c>
      <c r="B12" s="10" t="s">
        <v>67</v>
      </c>
      <c r="C12" s="11">
        <v>4601055</v>
      </c>
      <c r="D12">
        <v>3991</v>
      </c>
      <c r="E12">
        <v>45</v>
      </c>
    </row>
    <row r="13" spans="1:5" ht="14.4">
      <c r="A13" s="9">
        <v>45352</v>
      </c>
      <c r="B13" s="10" t="s">
        <v>67</v>
      </c>
      <c r="C13" s="11">
        <v>4953438</v>
      </c>
      <c r="D13">
        <v>4184</v>
      </c>
      <c r="E13">
        <v>37</v>
      </c>
    </row>
    <row r="14" spans="1:5" ht="14.4">
      <c r="A14" s="9">
        <v>45383</v>
      </c>
      <c r="B14" s="10" t="s">
        <v>67</v>
      </c>
      <c r="C14" s="11">
        <v>4963214</v>
      </c>
      <c r="D14">
        <v>3992</v>
      </c>
      <c r="E14">
        <v>44</v>
      </c>
    </row>
    <row r="15" spans="1:5" ht="14.4">
      <c r="A15" s="9">
        <v>45413</v>
      </c>
      <c r="B15" s="10" t="s">
        <v>67</v>
      </c>
      <c r="C15" s="11">
        <v>5127841</v>
      </c>
      <c r="D15">
        <v>4125</v>
      </c>
      <c r="E15">
        <v>44</v>
      </c>
    </row>
    <row r="16" spans="1:5" ht="14.4">
      <c r="A16" s="9">
        <v>45444</v>
      </c>
      <c r="B16" s="10" t="s">
        <v>67</v>
      </c>
      <c r="C16" s="11">
        <v>4816292</v>
      </c>
      <c r="D16">
        <v>4205</v>
      </c>
      <c r="E16">
        <v>40</v>
      </c>
    </row>
    <row r="17" spans="1:5" ht="14.4">
      <c r="A17" s="9">
        <v>45474</v>
      </c>
      <c r="B17" s="10" t="s">
        <v>67</v>
      </c>
      <c r="C17" s="11">
        <v>4672150</v>
      </c>
      <c r="D17">
        <v>3844</v>
      </c>
      <c r="E17">
        <v>38</v>
      </c>
    </row>
    <row r="18" spans="1:5" ht="14.4">
      <c r="A18" s="9">
        <v>45505</v>
      </c>
      <c r="B18" s="10" t="s">
        <v>67</v>
      </c>
      <c r="C18" s="11">
        <v>4945260</v>
      </c>
      <c r="D18">
        <v>3819</v>
      </c>
      <c r="E18">
        <v>54</v>
      </c>
    </row>
    <row r="19" spans="1:5" ht="14.4">
      <c r="A19" s="9">
        <v>45536</v>
      </c>
      <c r="B19" s="10" t="s">
        <v>67</v>
      </c>
      <c r="C19" s="11">
        <v>5234638</v>
      </c>
      <c r="D19">
        <v>4154</v>
      </c>
      <c r="E19">
        <v>49</v>
      </c>
    </row>
    <row r="20" spans="1:5" ht="14.4">
      <c r="A20" s="9">
        <v>45566</v>
      </c>
      <c r="B20" s="10" t="s">
        <v>67</v>
      </c>
      <c r="C20" s="11">
        <v>6438389</v>
      </c>
      <c r="D20">
        <v>5106</v>
      </c>
      <c r="E20">
        <v>55</v>
      </c>
    </row>
    <row r="21" spans="1:5" ht="14.4">
      <c r="A21" s="9">
        <v>45597</v>
      </c>
      <c r="B21" s="10" t="s">
        <v>67</v>
      </c>
      <c r="C21" s="11">
        <v>6718024</v>
      </c>
      <c r="D21">
        <v>5652</v>
      </c>
      <c r="E21">
        <v>50</v>
      </c>
    </row>
    <row r="22" spans="1:5" ht="14.4">
      <c r="A22" s="9">
        <v>45627</v>
      </c>
      <c r="B22" s="10" t="s">
        <v>67</v>
      </c>
      <c r="C22" s="11">
        <v>5182214</v>
      </c>
      <c r="D22">
        <v>4671</v>
      </c>
      <c r="E22">
        <v>36</v>
      </c>
    </row>
    <row r="23" spans="1:5" ht="14.4">
      <c r="A23" s="9">
        <v>45658</v>
      </c>
      <c r="B23" s="10" t="s">
        <v>67</v>
      </c>
      <c r="C23" s="11">
        <v>5391404</v>
      </c>
      <c r="D23">
        <v>4181</v>
      </c>
      <c r="E23">
        <v>54</v>
      </c>
    </row>
    <row r="24" spans="1:5" ht="14.4">
      <c r="A24" s="9">
        <v>45689</v>
      </c>
      <c r="B24" s="10" t="s">
        <v>67</v>
      </c>
      <c r="C24" s="11">
        <v>5469433</v>
      </c>
      <c r="D24">
        <v>4680</v>
      </c>
      <c r="E24">
        <v>52</v>
      </c>
    </row>
    <row r="25" spans="1:5" ht="14.4">
      <c r="A25" s="9">
        <v>45717</v>
      </c>
      <c r="B25" s="10" t="s">
        <v>67</v>
      </c>
      <c r="C25" s="11">
        <v>5471923</v>
      </c>
      <c r="D25">
        <v>4344</v>
      </c>
      <c r="E25">
        <v>37</v>
      </c>
    </row>
    <row r="26" spans="1:5" ht="14.4">
      <c r="A26" s="9">
        <v>45748</v>
      </c>
      <c r="B26" s="10" t="s">
        <v>67</v>
      </c>
      <c r="C26" s="11">
        <v>5477927</v>
      </c>
      <c r="D26">
        <v>4451</v>
      </c>
      <c r="E26">
        <v>45</v>
      </c>
    </row>
    <row r="27" spans="1:5" ht="14.4">
      <c r="A27" s="9">
        <v>45778</v>
      </c>
      <c r="B27" s="10" t="s">
        <v>67</v>
      </c>
      <c r="C27" s="11">
        <v>5652328</v>
      </c>
      <c r="D27">
        <v>4494</v>
      </c>
      <c r="E27">
        <v>48</v>
      </c>
    </row>
    <row r="28" spans="1:5" ht="14.4">
      <c r="A28" s="9">
        <v>45809</v>
      </c>
      <c r="B28" s="10" t="s">
        <v>67</v>
      </c>
      <c r="C28" s="11">
        <v>5608149</v>
      </c>
      <c r="D28">
        <v>4969</v>
      </c>
      <c r="E28">
        <v>37</v>
      </c>
    </row>
    <row r="29" spans="1:5" ht="14.4">
      <c r="A29" s="9">
        <v>45839</v>
      </c>
      <c r="B29" s="10" t="s">
        <v>67</v>
      </c>
      <c r="C29" s="11">
        <v>5711094</v>
      </c>
      <c r="D29">
        <v>4538</v>
      </c>
      <c r="E29">
        <v>45</v>
      </c>
    </row>
    <row r="30" spans="1:5" ht="14.4">
      <c r="A30" s="9">
        <v>45870</v>
      </c>
      <c r="B30" s="10" t="s">
        <v>67</v>
      </c>
      <c r="C30" s="11">
        <v>5708780</v>
      </c>
      <c r="D30">
        <v>5097</v>
      </c>
      <c r="E30">
        <v>47</v>
      </c>
    </row>
    <row r="31" spans="1:5" ht="14.4">
      <c r="A31" s="9">
        <v>45901</v>
      </c>
      <c r="B31" s="10" t="s">
        <v>67</v>
      </c>
      <c r="C31" s="11">
        <v>6262006</v>
      </c>
      <c r="D31">
        <v>4930</v>
      </c>
      <c r="E31">
        <v>47</v>
      </c>
    </row>
    <row r="32" spans="1:5" ht="14.4">
      <c r="A32" s="9">
        <v>45931</v>
      </c>
      <c r="B32" s="10" t="s">
        <v>67</v>
      </c>
      <c r="C32" s="11">
        <v>7284798</v>
      </c>
      <c r="D32">
        <v>5741</v>
      </c>
      <c r="E32">
        <v>49</v>
      </c>
    </row>
    <row r="33" spans="1:5" ht="14.4">
      <c r="A33" s="9">
        <v>45962</v>
      </c>
      <c r="B33" s="10" t="s">
        <v>67</v>
      </c>
      <c r="C33" s="11">
        <v>6621088</v>
      </c>
      <c r="D33">
        <v>5581</v>
      </c>
      <c r="E33">
        <v>40</v>
      </c>
    </row>
    <row r="34" spans="1:5" ht="14.4">
      <c r="A34" s="9">
        <v>45992</v>
      </c>
      <c r="B34" s="10" t="s">
        <v>67</v>
      </c>
      <c r="C34" s="11">
        <v>5987806</v>
      </c>
      <c r="D34">
        <v>5290</v>
      </c>
      <c r="E34">
        <v>38</v>
      </c>
    </row>
    <row r="35" spans="1:5" ht="14.4">
      <c r="A35" s="9">
        <v>46023</v>
      </c>
      <c r="B35" s="10" t="s">
        <v>67</v>
      </c>
      <c r="C35" s="11">
        <v>6352253</v>
      </c>
      <c r="D35">
        <v>5352</v>
      </c>
      <c r="E35">
        <v>49</v>
      </c>
    </row>
    <row r="36" spans="1:5" ht="14.4">
      <c r="A36" s="9">
        <v>46054</v>
      </c>
      <c r="B36" s="10" t="s">
        <v>67</v>
      </c>
      <c r="C36" s="11">
        <v>6603041</v>
      </c>
      <c r="D36">
        <v>5210</v>
      </c>
      <c r="E36">
        <v>49</v>
      </c>
    </row>
    <row r="37" spans="1:5" ht="14.4">
      <c r="A37" s="9">
        <v>46082</v>
      </c>
      <c r="B37" s="10" t="s">
        <v>67</v>
      </c>
      <c r="C37" s="11">
        <v>7208200</v>
      </c>
      <c r="D37">
        <v>6351</v>
      </c>
      <c r="E37">
        <v>58</v>
      </c>
    </row>
    <row r="38" spans="1:5" ht="14.4">
      <c r="A38" s="9">
        <v>45017</v>
      </c>
      <c r="B38" s="10" t="s">
        <v>68</v>
      </c>
      <c r="C38" s="11">
        <v>5412101</v>
      </c>
      <c r="D38">
        <v>4201</v>
      </c>
      <c r="E38">
        <v>37</v>
      </c>
    </row>
    <row r="39" spans="1:5" ht="14.4">
      <c r="A39" s="9">
        <v>45047</v>
      </c>
      <c r="B39" s="10" t="s">
        <v>68</v>
      </c>
      <c r="C39" s="11">
        <v>5517299</v>
      </c>
      <c r="D39">
        <v>5008</v>
      </c>
      <c r="E39">
        <v>44</v>
      </c>
    </row>
    <row r="40" spans="1:5" ht="14.4">
      <c r="A40" s="9">
        <v>45078</v>
      </c>
      <c r="B40" s="10" t="s">
        <v>68</v>
      </c>
      <c r="C40" s="11">
        <v>5278470</v>
      </c>
      <c r="D40">
        <v>4173</v>
      </c>
      <c r="E40">
        <v>54</v>
      </c>
    </row>
    <row r="41" spans="1:5" ht="14.4">
      <c r="A41" s="9">
        <v>45108</v>
      </c>
      <c r="B41" s="10" t="s">
        <v>68</v>
      </c>
      <c r="C41" s="11">
        <v>5479931</v>
      </c>
      <c r="D41">
        <v>4799</v>
      </c>
      <c r="E41">
        <v>56</v>
      </c>
    </row>
    <row r="42" spans="1:5" ht="14.4">
      <c r="A42" s="9">
        <v>45139</v>
      </c>
      <c r="B42" s="10" t="s">
        <v>68</v>
      </c>
      <c r="C42" s="11">
        <v>5896577</v>
      </c>
      <c r="D42">
        <v>4781</v>
      </c>
      <c r="E42">
        <v>52</v>
      </c>
    </row>
    <row r="43" spans="1:5" ht="14.4">
      <c r="A43" s="9">
        <v>45170</v>
      </c>
      <c r="B43" s="10" t="s">
        <v>68</v>
      </c>
      <c r="C43" s="11">
        <v>5944154</v>
      </c>
      <c r="D43">
        <v>5214</v>
      </c>
      <c r="E43">
        <v>41</v>
      </c>
    </row>
    <row r="44" spans="1:5" ht="14.4">
      <c r="A44" s="9">
        <v>45200</v>
      </c>
      <c r="B44" s="10" t="s">
        <v>68</v>
      </c>
      <c r="C44" s="11">
        <v>7254830</v>
      </c>
      <c r="D44">
        <v>6132</v>
      </c>
      <c r="E44">
        <v>42</v>
      </c>
    </row>
    <row r="45" spans="1:5" ht="14.4">
      <c r="A45" s="9">
        <v>45231</v>
      </c>
      <c r="B45" s="10" t="s">
        <v>68</v>
      </c>
      <c r="C45" s="11">
        <v>7604242</v>
      </c>
      <c r="D45">
        <v>6496</v>
      </c>
      <c r="E45">
        <v>59</v>
      </c>
    </row>
    <row r="46" spans="1:5" ht="14.4">
      <c r="A46" s="9">
        <v>45261</v>
      </c>
      <c r="B46" s="10" t="s">
        <v>68</v>
      </c>
      <c r="C46" s="11">
        <v>6175695</v>
      </c>
      <c r="D46">
        <v>4815</v>
      </c>
      <c r="E46">
        <v>35</v>
      </c>
    </row>
    <row r="47" spans="1:5" ht="14.4">
      <c r="A47" s="9">
        <v>45292</v>
      </c>
      <c r="B47" s="10" t="s">
        <v>68</v>
      </c>
      <c r="C47" s="11">
        <v>6464525</v>
      </c>
      <c r="D47">
        <v>5383</v>
      </c>
      <c r="E47">
        <v>54</v>
      </c>
    </row>
    <row r="48" spans="1:5" ht="14.4">
      <c r="A48" s="9">
        <v>45323</v>
      </c>
      <c r="B48" s="10" t="s">
        <v>68</v>
      </c>
      <c r="C48" s="11">
        <v>5524715</v>
      </c>
      <c r="D48">
        <v>4536</v>
      </c>
      <c r="E48">
        <v>41</v>
      </c>
    </row>
    <row r="49" spans="1:5" ht="14.4">
      <c r="A49" s="9">
        <v>45352</v>
      </c>
      <c r="B49" s="10" t="s">
        <v>68</v>
      </c>
      <c r="C49" s="11">
        <v>7070127</v>
      </c>
      <c r="D49">
        <v>5766</v>
      </c>
      <c r="E49">
        <v>53</v>
      </c>
    </row>
    <row r="50" spans="1:5" ht="14.4">
      <c r="A50" s="9">
        <v>45383</v>
      </c>
      <c r="B50" s="10" t="s">
        <v>68</v>
      </c>
      <c r="C50" s="11">
        <v>6240054</v>
      </c>
      <c r="D50">
        <v>5586</v>
      </c>
      <c r="E50">
        <v>38</v>
      </c>
    </row>
    <row r="51" spans="1:5" ht="14.4">
      <c r="A51" s="9">
        <v>45413</v>
      </c>
      <c r="B51" s="10" t="s">
        <v>68</v>
      </c>
      <c r="C51" s="11">
        <v>6667018</v>
      </c>
      <c r="D51">
        <v>5988</v>
      </c>
      <c r="E51">
        <v>47</v>
      </c>
    </row>
    <row r="52" spans="1:5" ht="14.4">
      <c r="A52" s="9">
        <v>45444</v>
      </c>
      <c r="B52" s="10" t="s">
        <v>68</v>
      </c>
      <c r="C52" s="11">
        <v>5991828</v>
      </c>
      <c r="D52">
        <v>4615</v>
      </c>
      <c r="E52">
        <v>46</v>
      </c>
    </row>
    <row r="53" spans="1:5" ht="14.4">
      <c r="A53" s="9">
        <v>45474</v>
      </c>
      <c r="B53" s="10" t="s">
        <v>68</v>
      </c>
      <c r="C53" s="11">
        <v>5830856</v>
      </c>
      <c r="D53">
        <v>5170</v>
      </c>
      <c r="E53">
        <v>37</v>
      </c>
    </row>
    <row r="54" spans="1:5" ht="14.4">
      <c r="A54" s="9">
        <v>45505</v>
      </c>
      <c r="B54" s="10" t="s">
        <v>68</v>
      </c>
      <c r="C54" s="11">
        <v>6572265</v>
      </c>
      <c r="D54">
        <v>5602</v>
      </c>
      <c r="E54">
        <v>51</v>
      </c>
    </row>
    <row r="55" spans="1:5" ht="14.4">
      <c r="A55" s="9">
        <v>45536</v>
      </c>
      <c r="B55" s="10" t="s">
        <v>68</v>
      </c>
      <c r="C55" s="11">
        <v>6369276</v>
      </c>
      <c r="D55">
        <v>5006</v>
      </c>
      <c r="E55">
        <v>53</v>
      </c>
    </row>
    <row r="56" spans="1:5" ht="14.4">
      <c r="A56" s="9">
        <v>45566</v>
      </c>
      <c r="B56" s="10" t="s">
        <v>68</v>
      </c>
      <c r="C56" s="11">
        <v>7646246</v>
      </c>
      <c r="D56">
        <v>6722</v>
      </c>
      <c r="E56">
        <v>36</v>
      </c>
    </row>
    <row r="57" spans="1:5" ht="14.4">
      <c r="A57" s="9">
        <v>45597</v>
      </c>
      <c r="B57" s="10" t="s">
        <v>68</v>
      </c>
      <c r="C57" s="11">
        <v>7876962</v>
      </c>
      <c r="D57">
        <v>6350</v>
      </c>
      <c r="E57">
        <v>53</v>
      </c>
    </row>
    <row r="58" spans="1:5" ht="14.4">
      <c r="A58" s="9">
        <v>45627</v>
      </c>
      <c r="B58" s="10" t="s">
        <v>68</v>
      </c>
      <c r="C58" s="11">
        <v>7311677</v>
      </c>
      <c r="D58">
        <v>6056</v>
      </c>
      <c r="E58">
        <v>47</v>
      </c>
    </row>
    <row r="59" spans="1:5" ht="14.4">
      <c r="A59" s="9">
        <v>45658</v>
      </c>
      <c r="B59" s="10" t="s">
        <v>68</v>
      </c>
      <c r="C59" s="11">
        <v>7393934</v>
      </c>
      <c r="D59">
        <v>5815</v>
      </c>
      <c r="E59">
        <v>46</v>
      </c>
    </row>
    <row r="60" spans="1:5" ht="14.4">
      <c r="A60" s="9">
        <v>45689</v>
      </c>
      <c r="B60" s="10" t="s">
        <v>68</v>
      </c>
      <c r="C60" s="11">
        <v>7550899</v>
      </c>
      <c r="D60">
        <v>5864</v>
      </c>
      <c r="E60">
        <v>51</v>
      </c>
    </row>
    <row r="61" spans="1:5" ht="14.4">
      <c r="A61" s="9">
        <v>45717</v>
      </c>
      <c r="B61" s="10" t="s">
        <v>68</v>
      </c>
      <c r="C61" s="11">
        <v>7995222</v>
      </c>
      <c r="D61">
        <v>6342</v>
      </c>
      <c r="E61">
        <v>52</v>
      </c>
    </row>
    <row r="62" spans="1:5" ht="14.4">
      <c r="A62" s="9">
        <v>45748</v>
      </c>
      <c r="B62" s="10" t="s">
        <v>68</v>
      </c>
      <c r="C62" s="11">
        <v>7281633</v>
      </c>
      <c r="D62">
        <v>5839</v>
      </c>
      <c r="E62">
        <v>49</v>
      </c>
    </row>
    <row r="63" spans="1:5" ht="14.4">
      <c r="A63" s="9">
        <v>45778</v>
      </c>
      <c r="B63" s="10" t="s">
        <v>68</v>
      </c>
      <c r="C63" s="11">
        <v>7317479</v>
      </c>
      <c r="D63">
        <v>5751</v>
      </c>
      <c r="E63">
        <v>51</v>
      </c>
    </row>
    <row r="64" spans="1:5" ht="14.4">
      <c r="A64" s="9">
        <v>45809</v>
      </c>
      <c r="B64" s="10" t="s">
        <v>68</v>
      </c>
      <c r="C64" s="11">
        <v>6948237</v>
      </c>
      <c r="D64">
        <v>5346</v>
      </c>
      <c r="E64">
        <v>40</v>
      </c>
    </row>
    <row r="65" spans="1:5" ht="14.4">
      <c r="A65" s="9">
        <v>45839</v>
      </c>
      <c r="B65" s="10" t="s">
        <v>68</v>
      </c>
      <c r="C65" s="11">
        <v>7154682</v>
      </c>
      <c r="D65">
        <v>6049</v>
      </c>
      <c r="E65">
        <v>43</v>
      </c>
    </row>
    <row r="66" spans="1:5" ht="14.4">
      <c r="A66" s="9">
        <v>45870</v>
      </c>
      <c r="B66" s="10" t="s">
        <v>68</v>
      </c>
      <c r="C66" s="11">
        <v>7816335</v>
      </c>
      <c r="D66">
        <v>6664</v>
      </c>
      <c r="E66">
        <v>39</v>
      </c>
    </row>
    <row r="67" spans="1:5" ht="14.4">
      <c r="A67" s="9">
        <v>45901</v>
      </c>
      <c r="B67" s="10" t="s">
        <v>68</v>
      </c>
      <c r="C67" s="11">
        <v>7721841</v>
      </c>
      <c r="D67">
        <v>6507</v>
      </c>
      <c r="E67">
        <v>43</v>
      </c>
    </row>
    <row r="68" spans="1:5" ht="14.4">
      <c r="A68" s="9">
        <v>45931</v>
      </c>
      <c r="B68" s="10" t="s">
        <v>68</v>
      </c>
      <c r="C68" s="11">
        <v>9979330</v>
      </c>
      <c r="D68">
        <v>8248</v>
      </c>
      <c r="E68">
        <v>40</v>
      </c>
    </row>
    <row r="69" spans="1:5" ht="14.4">
      <c r="A69" s="9">
        <v>45962</v>
      </c>
      <c r="B69" s="10" t="s">
        <v>68</v>
      </c>
      <c r="C69" s="11">
        <v>10067303</v>
      </c>
      <c r="D69">
        <v>9043</v>
      </c>
      <c r="E69">
        <v>44</v>
      </c>
    </row>
    <row r="70" spans="1:5" ht="14.4">
      <c r="A70" s="9">
        <v>45992</v>
      </c>
      <c r="B70" s="10" t="s">
        <v>68</v>
      </c>
      <c r="C70" s="11">
        <v>7626613</v>
      </c>
      <c r="D70">
        <v>6251</v>
      </c>
      <c r="E70">
        <v>54</v>
      </c>
    </row>
    <row r="71" spans="1:5" ht="14.4">
      <c r="A71" s="9">
        <v>46023</v>
      </c>
      <c r="B71" s="10" t="s">
        <v>68</v>
      </c>
      <c r="C71" s="11">
        <v>8827347</v>
      </c>
      <c r="D71">
        <v>7265</v>
      </c>
      <c r="E71">
        <v>54</v>
      </c>
    </row>
    <row r="72" spans="1:5" ht="14.4">
      <c r="A72" s="9">
        <v>46054</v>
      </c>
      <c r="B72" s="10" t="s">
        <v>68</v>
      </c>
      <c r="C72" s="11">
        <v>8905553</v>
      </c>
      <c r="D72">
        <v>7396</v>
      </c>
      <c r="E72">
        <v>35</v>
      </c>
    </row>
    <row r="73" spans="1:5" ht="14.4">
      <c r="A73" s="9">
        <v>46082</v>
      </c>
      <c r="B73" s="10" t="s">
        <v>68</v>
      </c>
      <c r="C73" s="11">
        <v>9815910</v>
      </c>
      <c r="D73">
        <v>7837</v>
      </c>
      <c r="E73">
        <v>53</v>
      </c>
    </row>
    <row r="74" spans="1:5" ht="14.4">
      <c r="A74" s="9">
        <v>45017</v>
      </c>
      <c r="B74" s="10" t="s">
        <v>69</v>
      </c>
      <c r="C74" s="11">
        <v>2416461</v>
      </c>
      <c r="D74">
        <v>1865</v>
      </c>
      <c r="E74">
        <v>43</v>
      </c>
    </row>
    <row r="75" spans="1:5" ht="14.4">
      <c r="A75" s="9">
        <v>45047</v>
      </c>
      <c r="B75" s="10" t="s">
        <v>69</v>
      </c>
      <c r="C75" s="11">
        <v>2392130</v>
      </c>
      <c r="D75">
        <v>1884</v>
      </c>
      <c r="E75">
        <v>47</v>
      </c>
    </row>
    <row r="76" spans="1:5" ht="14.4">
      <c r="A76" s="9">
        <v>45078</v>
      </c>
      <c r="B76" s="10" t="s">
        <v>69</v>
      </c>
      <c r="C76" s="11">
        <v>2342542</v>
      </c>
      <c r="D76">
        <v>1921</v>
      </c>
      <c r="E76">
        <v>54</v>
      </c>
    </row>
    <row r="77" spans="1:5" ht="14.4">
      <c r="A77" s="9">
        <v>45108</v>
      </c>
      <c r="B77" s="10" t="s">
        <v>69</v>
      </c>
      <c r="C77" s="11">
        <v>2376261</v>
      </c>
      <c r="D77">
        <v>2081</v>
      </c>
      <c r="E77">
        <v>48</v>
      </c>
    </row>
    <row r="78" spans="1:5" ht="14.4">
      <c r="A78" s="9">
        <v>45139</v>
      </c>
      <c r="B78" s="10" t="s">
        <v>69</v>
      </c>
      <c r="C78" s="11">
        <v>2227407</v>
      </c>
      <c r="D78">
        <v>1916</v>
      </c>
      <c r="E78">
        <v>54</v>
      </c>
    </row>
    <row r="79" spans="1:5" ht="14.4">
      <c r="A79" s="9">
        <v>45170</v>
      </c>
      <c r="B79" s="10" t="s">
        <v>69</v>
      </c>
      <c r="C79" s="11">
        <v>2642216</v>
      </c>
      <c r="D79">
        <v>2086</v>
      </c>
      <c r="E79">
        <v>49</v>
      </c>
    </row>
    <row r="80" spans="1:5" ht="14.4">
      <c r="A80" s="9">
        <v>45200</v>
      </c>
      <c r="B80" s="10" t="s">
        <v>69</v>
      </c>
      <c r="C80" s="11">
        <v>3070501</v>
      </c>
      <c r="D80">
        <v>2623</v>
      </c>
      <c r="E80">
        <v>47</v>
      </c>
    </row>
    <row r="81" spans="1:5" ht="14.4">
      <c r="A81" s="9">
        <v>45231</v>
      </c>
      <c r="B81" s="10" t="s">
        <v>69</v>
      </c>
      <c r="C81" s="11">
        <v>2916708</v>
      </c>
      <c r="D81">
        <v>2287</v>
      </c>
      <c r="E81">
        <v>38</v>
      </c>
    </row>
    <row r="82" spans="1:5" ht="14.4">
      <c r="A82" s="9">
        <v>45261</v>
      </c>
      <c r="B82" s="10" t="s">
        <v>69</v>
      </c>
      <c r="C82" s="11">
        <v>2903005</v>
      </c>
      <c r="D82">
        <v>2279</v>
      </c>
      <c r="E82">
        <v>37</v>
      </c>
    </row>
    <row r="83" spans="1:5" ht="14.4">
      <c r="A83" s="9">
        <v>45292</v>
      </c>
      <c r="B83" s="10" t="s">
        <v>69</v>
      </c>
      <c r="C83" s="11">
        <v>2764055</v>
      </c>
      <c r="D83">
        <v>2267</v>
      </c>
      <c r="E83">
        <v>48</v>
      </c>
    </row>
    <row r="84" spans="1:5" ht="14.4">
      <c r="A84" s="9">
        <v>45323</v>
      </c>
      <c r="B84" s="10" t="s">
        <v>69</v>
      </c>
      <c r="C84" s="11">
        <v>2661973</v>
      </c>
      <c r="D84">
        <v>2392</v>
      </c>
      <c r="E84">
        <v>59</v>
      </c>
    </row>
    <row r="85" spans="1:5" ht="14.4">
      <c r="A85" s="9">
        <v>45352</v>
      </c>
      <c r="B85" s="10" t="s">
        <v>69</v>
      </c>
      <c r="C85" s="11">
        <v>2883624</v>
      </c>
      <c r="D85">
        <v>2592</v>
      </c>
      <c r="E85">
        <v>41</v>
      </c>
    </row>
    <row r="86" spans="1:5" ht="14.4">
      <c r="A86" s="9">
        <v>45383</v>
      </c>
      <c r="B86" s="10" t="s">
        <v>69</v>
      </c>
      <c r="C86" s="11">
        <v>2834297</v>
      </c>
      <c r="D86">
        <v>2319</v>
      </c>
      <c r="E86">
        <v>36</v>
      </c>
    </row>
    <row r="87" spans="1:5" ht="14.4">
      <c r="A87" s="9">
        <v>45413</v>
      </c>
      <c r="B87" s="10" t="s">
        <v>69</v>
      </c>
      <c r="C87" s="11">
        <v>2673011</v>
      </c>
      <c r="D87">
        <v>2079</v>
      </c>
      <c r="E87">
        <v>57</v>
      </c>
    </row>
    <row r="88" spans="1:5" ht="14.4">
      <c r="A88" s="9">
        <v>45444</v>
      </c>
      <c r="B88" s="10" t="s">
        <v>69</v>
      </c>
      <c r="C88" s="11">
        <v>2619671</v>
      </c>
      <c r="D88">
        <v>2160</v>
      </c>
      <c r="E88">
        <v>37</v>
      </c>
    </row>
    <row r="89" spans="1:5" ht="14.4">
      <c r="A89" s="9">
        <v>45474</v>
      </c>
      <c r="B89" s="10" t="s">
        <v>69</v>
      </c>
      <c r="C89" s="11">
        <v>2354811</v>
      </c>
      <c r="D89">
        <v>1860</v>
      </c>
      <c r="E89">
        <v>49</v>
      </c>
    </row>
    <row r="90" spans="1:5" ht="14.4">
      <c r="A90" s="9">
        <v>45505</v>
      </c>
      <c r="B90" s="10" t="s">
        <v>69</v>
      </c>
      <c r="C90" s="11">
        <v>2896047</v>
      </c>
      <c r="D90">
        <v>2414</v>
      </c>
      <c r="E90">
        <v>58</v>
      </c>
    </row>
    <row r="91" spans="1:5" ht="14.4">
      <c r="A91" s="9">
        <v>45536</v>
      </c>
      <c r="B91" s="10" t="s">
        <v>69</v>
      </c>
      <c r="C91" s="11">
        <v>3317087</v>
      </c>
      <c r="D91">
        <v>2552</v>
      </c>
      <c r="E91">
        <v>41</v>
      </c>
    </row>
    <row r="92" spans="1:5" ht="14.4">
      <c r="A92" s="9">
        <v>45566</v>
      </c>
      <c r="B92" s="10" t="s">
        <v>69</v>
      </c>
      <c r="C92" s="11">
        <v>3618346</v>
      </c>
      <c r="D92">
        <v>2950</v>
      </c>
      <c r="E92">
        <v>55</v>
      </c>
    </row>
    <row r="93" spans="1:5" ht="14.4">
      <c r="A93" s="9">
        <v>45597</v>
      </c>
      <c r="B93" s="10" t="s">
        <v>69</v>
      </c>
      <c r="C93" s="11">
        <v>3646565</v>
      </c>
      <c r="D93">
        <v>2863</v>
      </c>
      <c r="E93">
        <v>36</v>
      </c>
    </row>
    <row r="94" spans="1:5" ht="14.4">
      <c r="A94" s="9">
        <v>45627</v>
      </c>
      <c r="B94" s="10" t="s">
        <v>69</v>
      </c>
      <c r="C94" s="11">
        <v>2928810</v>
      </c>
      <c r="D94">
        <v>2619</v>
      </c>
      <c r="E94">
        <v>45</v>
      </c>
    </row>
    <row r="95" spans="1:5" ht="14.4">
      <c r="A95" s="9">
        <v>45658</v>
      </c>
      <c r="B95" s="10" t="s">
        <v>69</v>
      </c>
      <c r="C95" s="11">
        <v>2947853</v>
      </c>
      <c r="D95">
        <v>2443</v>
      </c>
      <c r="E95">
        <v>46</v>
      </c>
    </row>
    <row r="96" spans="1:5" ht="14.4">
      <c r="A96" s="9">
        <v>45689</v>
      </c>
      <c r="B96" s="10" t="s">
        <v>69</v>
      </c>
      <c r="C96" s="11">
        <v>2932787</v>
      </c>
      <c r="D96">
        <v>2382</v>
      </c>
      <c r="E96">
        <v>55</v>
      </c>
    </row>
    <row r="97" spans="1:5" ht="14.4">
      <c r="A97" s="9">
        <v>45717</v>
      </c>
      <c r="B97" s="10" t="s">
        <v>69</v>
      </c>
      <c r="C97" s="11">
        <v>3484316</v>
      </c>
      <c r="D97">
        <v>2885</v>
      </c>
      <c r="E97">
        <v>45</v>
      </c>
    </row>
    <row r="98" spans="1:5" ht="14.4">
      <c r="A98" s="9">
        <v>45748</v>
      </c>
      <c r="B98" s="10" t="s">
        <v>69</v>
      </c>
      <c r="C98" s="11">
        <v>3298051</v>
      </c>
      <c r="D98">
        <v>2652</v>
      </c>
      <c r="E98">
        <v>45</v>
      </c>
    </row>
    <row r="99" spans="1:5" ht="14.4">
      <c r="A99" s="9">
        <v>45778</v>
      </c>
      <c r="B99" s="10" t="s">
        <v>69</v>
      </c>
      <c r="C99" s="11">
        <v>3387068</v>
      </c>
      <c r="D99">
        <v>2691</v>
      </c>
      <c r="E99">
        <v>39</v>
      </c>
    </row>
    <row r="100" spans="1:5" ht="14.4">
      <c r="A100" s="9">
        <v>45809</v>
      </c>
      <c r="B100" s="10" t="s">
        <v>69</v>
      </c>
      <c r="C100" s="11">
        <v>2961609</v>
      </c>
      <c r="D100">
        <v>2300</v>
      </c>
      <c r="E100">
        <v>50</v>
      </c>
    </row>
    <row r="101" spans="1:5" ht="14.4">
      <c r="A101" s="9">
        <v>45839</v>
      </c>
      <c r="B101" s="10" t="s">
        <v>69</v>
      </c>
      <c r="C101" s="11">
        <v>3116770</v>
      </c>
      <c r="D101">
        <v>2426</v>
      </c>
      <c r="E101">
        <v>37</v>
      </c>
    </row>
    <row r="102" spans="1:5" ht="14.4">
      <c r="A102" s="9">
        <v>45870</v>
      </c>
      <c r="B102" s="10" t="s">
        <v>69</v>
      </c>
      <c r="C102" s="11">
        <v>3691374</v>
      </c>
      <c r="D102">
        <v>2979</v>
      </c>
      <c r="E102">
        <v>55</v>
      </c>
    </row>
    <row r="103" spans="1:5" ht="14.4">
      <c r="A103" s="9">
        <v>45901</v>
      </c>
      <c r="B103" s="10" t="s">
        <v>69</v>
      </c>
      <c r="C103" s="11">
        <v>3501435</v>
      </c>
      <c r="D103">
        <v>2720</v>
      </c>
      <c r="E103">
        <v>57</v>
      </c>
    </row>
    <row r="104" spans="1:5" ht="14.4">
      <c r="A104" s="9">
        <v>45931</v>
      </c>
      <c r="B104" s="10" t="s">
        <v>69</v>
      </c>
      <c r="C104" s="11">
        <v>3970201</v>
      </c>
      <c r="D104">
        <v>3141</v>
      </c>
      <c r="E104">
        <v>43</v>
      </c>
    </row>
    <row r="105" spans="1:5" ht="14.4">
      <c r="A105" s="9">
        <v>45962</v>
      </c>
      <c r="B105" s="10" t="s">
        <v>69</v>
      </c>
      <c r="C105" s="11">
        <v>3788945</v>
      </c>
      <c r="D105">
        <v>3345</v>
      </c>
      <c r="E105">
        <v>36</v>
      </c>
    </row>
    <row r="106" spans="1:5" ht="14.4">
      <c r="A106" s="9">
        <v>45992</v>
      </c>
      <c r="B106" s="10" t="s">
        <v>69</v>
      </c>
      <c r="C106" s="11">
        <v>3768659</v>
      </c>
      <c r="D106">
        <v>2971</v>
      </c>
      <c r="E106">
        <v>53</v>
      </c>
    </row>
    <row r="107" spans="1:5" ht="14.4">
      <c r="A107" s="9">
        <v>46023</v>
      </c>
      <c r="B107" s="10" t="s">
        <v>69</v>
      </c>
      <c r="C107" s="11">
        <v>3540897</v>
      </c>
      <c r="D107">
        <v>2746</v>
      </c>
      <c r="E107">
        <v>54</v>
      </c>
    </row>
    <row r="108" spans="1:5" ht="14.4">
      <c r="A108" s="9">
        <v>46054</v>
      </c>
      <c r="B108" s="10" t="s">
        <v>69</v>
      </c>
      <c r="C108" s="11">
        <v>3604236</v>
      </c>
      <c r="D108">
        <v>2861</v>
      </c>
      <c r="E108">
        <v>48</v>
      </c>
    </row>
    <row r="109" spans="1:5" ht="14.4">
      <c r="A109" s="9">
        <v>46082</v>
      </c>
      <c r="B109" s="10" t="s">
        <v>69</v>
      </c>
      <c r="C109" s="11">
        <v>4135799</v>
      </c>
      <c r="D109">
        <v>3715</v>
      </c>
      <c r="E109">
        <v>52</v>
      </c>
    </row>
    <row r="110" spans="1:5" ht="14.4">
      <c r="A110" s="9">
        <v>45017</v>
      </c>
      <c r="B110" s="10" t="s">
        <v>70</v>
      </c>
      <c r="C110" s="11">
        <v>6354778</v>
      </c>
      <c r="D110">
        <v>5589</v>
      </c>
      <c r="E110">
        <v>37</v>
      </c>
    </row>
    <row r="111" spans="1:5" ht="14.4">
      <c r="A111" s="9">
        <v>45047</v>
      </c>
      <c r="B111" s="10" t="s">
        <v>70</v>
      </c>
      <c r="C111" s="11">
        <v>6097297</v>
      </c>
      <c r="D111">
        <v>5338</v>
      </c>
      <c r="E111">
        <v>58</v>
      </c>
    </row>
    <row r="112" spans="1:5" ht="14.4">
      <c r="A112" s="9">
        <v>45078</v>
      </c>
      <c r="B112" s="10" t="s">
        <v>70</v>
      </c>
      <c r="C112" s="11">
        <v>5785381</v>
      </c>
      <c r="D112">
        <v>4752</v>
      </c>
      <c r="E112">
        <v>57</v>
      </c>
    </row>
    <row r="113" spans="1:5" ht="14.4">
      <c r="A113" s="9">
        <v>45108</v>
      </c>
      <c r="B113" s="10" t="s">
        <v>70</v>
      </c>
      <c r="C113" s="11">
        <v>5227840</v>
      </c>
      <c r="D113">
        <v>4328</v>
      </c>
      <c r="E113">
        <v>55</v>
      </c>
    </row>
    <row r="114" spans="1:5" ht="14.4">
      <c r="A114" s="9">
        <v>45139</v>
      </c>
      <c r="B114" s="10" t="s">
        <v>70</v>
      </c>
      <c r="C114" s="11">
        <v>6375764</v>
      </c>
      <c r="D114">
        <v>5132</v>
      </c>
      <c r="E114">
        <v>49</v>
      </c>
    </row>
    <row r="115" spans="1:5" ht="14.4">
      <c r="A115" s="9">
        <v>45170</v>
      </c>
      <c r="B115" s="10" t="s">
        <v>70</v>
      </c>
      <c r="C115" s="11">
        <v>6338650</v>
      </c>
      <c r="D115">
        <v>5180</v>
      </c>
      <c r="E115">
        <v>52</v>
      </c>
    </row>
    <row r="116" spans="1:5" ht="14.4">
      <c r="A116" s="9">
        <v>45200</v>
      </c>
      <c r="B116" s="10" t="s">
        <v>70</v>
      </c>
      <c r="C116" s="11">
        <v>7856149</v>
      </c>
      <c r="D116">
        <v>6672</v>
      </c>
      <c r="E116">
        <v>52</v>
      </c>
    </row>
    <row r="117" spans="1:5" ht="14.4">
      <c r="A117" s="9">
        <v>45231</v>
      </c>
      <c r="B117" s="10" t="s">
        <v>70</v>
      </c>
      <c r="C117" s="11">
        <v>7452080</v>
      </c>
      <c r="D117">
        <v>6252</v>
      </c>
      <c r="E117">
        <v>43</v>
      </c>
    </row>
    <row r="118" spans="1:5" ht="14.4">
      <c r="A118" s="9">
        <v>45261</v>
      </c>
      <c r="B118" s="10" t="s">
        <v>70</v>
      </c>
      <c r="C118" s="11">
        <v>6733668</v>
      </c>
      <c r="D118">
        <v>5363</v>
      </c>
      <c r="E118">
        <v>49</v>
      </c>
    </row>
    <row r="119" spans="1:5" ht="14.4">
      <c r="A119" s="9">
        <v>45292</v>
      </c>
      <c r="B119" s="10" t="s">
        <v>70</v>
      </c>
      <c r="C119" s="11">
        <v>6815585</v>
      </c>
      <c r="D119">
        <v>5837</v>
      </c>
      <c r="E119">
        <v>52</v>
      </c>
    </row>
    <row r="120" spans="1:5" ht="14.4">
      <c r="A120" s="9">
        <v>45323</v>
      </c>
      <c r="B120" s="10" t="s">
        <v>70</v>
      </c>
      <c r="C120" s="11">
        <v>6496671</v>
      </c>
      <c r="D120">
        <v>5661</v>
      </c>
      <c r="E120">
        <v>55</v>
      </c>
    </row>
    <row r="121" spans="1:5" ht="14.4">
      <c r="A121" s="9">
        <v>45352</v>
      </c>
      <c r="B121" s="10" t="s">
        <v>70</v>
      </c>
      <c r="C121" s="11">
        <v>7796952</v>
      </c>
      <c r="D121">
        <v>6862</v>
      </c>
      <c r="E121">
        <v>40</v>
      </c>
    </row>
    <row r="122" spans="1:5" ht="14.4">
      <c r="A122" s="9">
        <v>45383</v>
      </c>
      <c r="B122" s="10" t="s">
        <v>70</v>
      </c>
      <c r="C122" s="11">
        <v>6925981</v>
      </c>
      <c r="D122">
        <v>5610</v>
      </c>
      <c r="E122">
        <v>53</v>
      </c>
    </row>
    <row r="123" spans="1:5" ht="14.4">
      <c r="A123" s="9">
        <v>45413</v>
      </c>
      <c r="B123" s="10" t="s">
        <v>70</v>
      </c>
      <c r="C123" s="11">
        <v>6504030</v>
      </c>
      <c r="D123">
        <v>5462</v>
      </c>
      <c r="E123">
        <v>56</v>
      </c>
    </row>
    <row r="124" spans="1:5" ht="14.4">
      <c r="A124" s="9">
        <v>45444</v>
      </c>
      <c r="B124" s="10" t="s">
        <v>70</v>
      </c>
      <c r="C124" s="11">
        <v>6409381</v>
      </c>
      <c r="D124">
        <v>4935</v>
      </c>
      <c r="E124">
        <v>56</v>
      </c>
    </row>
    <row r="125" spans="1:5" ht="14.4">
      <c r="A125" s="9">
        <v>45474</v>
      </c>
      <c r="B125" s="10" t="s">
        <v>70</v>
      </c>
      <c r="C125" s="11">
        <v>7143020</v>
      </c>
      <c r="D125">
        <v>6475</v>
      </c>
      <c r="E125">
        <v>41</v>
      </c>
    </row>
    <row r="126" spans="1:5" ht="14.4">
      <c r="A126" s="9">
        <v>45505</v>
      </c>
      <c r="B126" s="10" t="s">
        <v>70</v>
      </c>
      <c r="C126" s="11">
        <v>6850606</v>
      </c>
      <c r="D126">
        <v>6208</v>
      </c>
      <c r="E126">
        <v>55</v>
      </c>
    </row>
    <row r="127" spans="1:5" ht="14.4">
      <c r="A127" s="9">
        <v>45536</v>
      </c>
      <c r="B127" s="10" t="s">
        <v>70</v>
      </c>
      <c r="C127" s="11">
        <v>7305975</v>
      </c>
      <c r="D127">
        <v>5934</v>
      </c>
      <c r="E127">
        <v>58</v>
      </c>
    </row>
    <row r="128" spans="1:5" ht="14.4">
      <c r="A128" s="9">
        <v>45566</v>
      </c>
      <c r="B128" s="10" t="s">
        <v>70</v>
      </c>
      <c r="C128" s="11">
        <v>8895226</v>
      </c>
      <c r="D128">
        <v>7083</v>
      </c>
      <c r="E128">
        <v>57</v>
      </c>
    </row>
    <row r="129" spans="1:5" ht="14.4">
      <c r="A129" s="9">
        <v>45597</v>
      </c>
      <c r="B129" s="10" t="s">
        <v>70</v>
      </c>
      <c r="C129" s="11">
        <v>9553198</v>
      </c>
      <c r="D129">
        <v>8529</v>
      </c>
      <c r="E129">
        <v>40</v>
      </c>
    </row>
    <row r="130" spans="1:5" ht="14.4">
      <c r="A130" s="9">
        <v>45627</v>
      </c>
      <c r="B130" s="10" t="s">
        <v>70</v>
      </c>
      <c r="C130" s="11">
        <v>7794641</v>
      </c>
      <c r="D130">
        <v>6948</v>
      </c>
      <c r="E130">
        <v>48</v>
      </c>
    </row>
    <row r="131" spans="1:5" ht="14.4">
      <c r="A131" s="9">
        <v>45658</v>
      </c>
      <c r="B131" s="10" t="s">
        <v>70</v>
      </c>
      <c r="C131" s="11">
        <v>7497025</v>
      </c>
      <c r="D131">
        <v>6494</v>
      </c>
      <c r="E131">
        <v>56</v>
      </c>
    </row>
    <row r="132" spans="1:5" ht="14.4">
      <c r="A132" s="9">
        <v>45689</v>
      </c>
      <c r="B132" s="10" t="s">
        <v>70</v>
      </c>
      <c r="C132" s="11">
        <v>8871467</v>
      </c>
      <c r="D132">
        <v>7053</v>
      </c>
      <c r="E132">
        <v>36</v>
      </c>
    </row>
    <row r="133" spans="1:5" ht="14.4">
      <c r="A133" s="9">
        <v>45717</v>
      </c>
      <c r="B133" s="10" t="s">
        <v>70</v>
      </c>
      <c r="C133" s="11">
        <v>8381714</v>
      </c>
      <c r="D133">
        <v>6728</v>
      </c>
      <c r="E133">
        <v>47</v>
      </c>
    </row>
    <row r="134" spans="1:5" ht="14.4">
      <c r="A134" s="9">
        <v>45748</v>
      </c>
      <c r="B134" s="10" t="s">
        <v>70</v>
      </c>
      <c r="C134" s="11">
        <v>8862390</v>
      </c>
      <c r="D134">
        <v>7345</v>
      </c>
      <c r="E134">
        <v>56</v>
      </c>
    </row>
    <row r="135" spans="1:5" ht="14.4">
      <c r="A135" s="9">
        <v>45778</v>
      </c>
      <c r="B135" s="10" t="s">
        <v>70</v>
      </c>
      <c r="C135" s="11">
        <v>8325605</v>
      </c>
      <c r="D135">
        <v>7228</v>
      </c>
      <c r="E135">
        <v>48</v>
      </c>
    </row>
    <row r="136" spans="1:5" ht="14.4">
      <c r="A136" s="9">
        <v>45809</v>
      </c>
      <c r="B136" s="10" t="s">
        <v>70</v>
      </c>
      <c r="C136" s="11">
        <v>8418528</v>
      </c>
      <c r="D136">
        <v>7249</v>
      </c>
      <c r="E136">
        <v>50</v>
      </c>
    </row>
    <row r="137" spans="1:5" ht="14.4">
      <c r="A137" s="9">
        <v>45839</v>
      </c>
      <c r="B137" s="10" t="s">
        <v>70</v>
      </c>
      <c r="C137" s="11">
        <v>7558712</v>
      </c>
      <c r="D137">
        <v>6783</v>
      </c>
      <c r="E137">
        <v>43</v>
      </c>
    </row>
    <row r="138" spans="1:5" ht="14.4">
      <c r="A138" s="9">
        <v>45870</v>
      </c>
      <c r="B138" s="10" t="s">
        <v>70</v>
      </c>
      <c r="C138" s="11">
        <v>9244387</v>
      </c>
      <c r="D138">
        <v>7488</v>
      </c>
      <c r="E138">
        <v>58</v>
      </c>
    </row>
    <row r="139" spans="1:5" ht="14.4">
      <c r="A139" s="9">
        <v>45901</v>
      </c>
      <c r="B139" s="10" t="s">
        <v>70</v>
      </c>
      <c r="C139" s="11">
        <v>8448107</v>
      </c>
      <c r="D139">
        <v>6820</v>
      </c>
      <c r="E139">
        <v>43</v>
      </c>
    </row>
    <row r="140" spans="1:5" ht="14.4">
      <c r="A140" s="9">
        <v>45931</v>
      </c>
      <c r="B140" s="10" t="s">
        <v>70</v>
      </c>
      <c r="C140" s="11">
        <v>10016962</v>
      </c>
      <c r="D140">
        <v>8990</v>
      </c>
      <c r="E140">
        <v>59</v>
      </c>
    </row>
    <row r="141" spans="1:5" ht="14.4">
      <c r="A141" s="9">
        <v>45962</v>
      </c>
      <c r="B141" s="10" t="s">
        <v>70</v>
      </c>
      <c r="C141" s="11">
        <v>11044488</v>
      </c>
      <c r="D141">
        <v>9563</v>
      </c>
      <c r="E141">
        <v>55</v>
      </c>
    </row>
    <row r="142" spans="1:5" ht="14.4">
      <c r="A142" s="9">
        <v>45992</v>
      </c>
      <c r="B142" s="10" t="s">
        <v>70</v>
      </c>
      <c r="C142" s="11">
        <v>8891736</v>
      </c>
      <c r="D142">
        <v>7610</v>
      </c>
      <c r="E142">
        <v>45</v>
      </c>
    </row>
    <row r="143" spans="1:5" ht="14.4">
      <c r="A143" s="9">
        <v>46023</v>
      </c>
      <c r="B143" s="10" t="s">
        <v>70</v>
      </c>
      <c r="C143" s="11">
        <v>8555662</v>
      </c>
      <c r="D143">
        <v>7313</v>
      </c>
      <c r="E143">
        <v>39</v>
      </c>
    </row>
    <row r="144" spans="1:5" ht="14.4">
      <c r="A144" s="9">
        <v>46054</v>
      </c>
      <c r="B144" s="10" t="s">
        <v>70</v>
      </c>
      <c r="C144" s="11">
        <v>8761721</v>
      </c>
      <c r="D144">
        <v>7013</v>
      </c>
      <c r="E144">
        <v>40</v>
      </c>
    </row>
    <row r="145" spans="1:5" ht="14.4">
      <c r="A145" s="9">
        <v>46082</v>
      </c>
      <c r="B145" s="10" t="s">
        <v>70</v>
      </c>
      <c r="C145" s="11">
        <v>9716082</v>
      </c>
      <c r="D145">
        <v>8540</v>
      </c>
      <c r="E145">
        <v>47</v>
      </c>
    </row>
  </sheetData>
  <autoFilter ref="A1:E145"/>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ColWidth="8.6640625" defaultRowHeight="13.2"/>
  <cols>
    <col min="1" max="1" width="26" customWidth="1"/>
    <col min="2" max="2" width="34" customWidth="1"/>
    <col min="3" max="3" width="16" customWidth="1"/>
    <col min="4" max="4" width="60" customWidth="1"/>
    <col min="5" max="6" width="16" customWidth="1"/>
  </cols>
  <sheetData>
    <row r="1" spans="1:6" ht="26.4">
      <c r="A1" s="3" t="s">
        <v>71</v>
      </c>
      <c r="B1" s="3" t="s">
        <v>72</v>
      </c>
      <c r="C1" s="3" t="s">
        <v>73</v>
      </c>
      <c r="D1" s="3" t="s">
        <v>74</v>
      </c>
      <c r="E1" s="3" t="s">
        <v>75</v>
      </c>
      <c r="F1" s="3" t="s">
        <v>76</v>
      </c>
    </row>
    <row r="2" spans="1:6">
      <c r="A2" t="s">
        <v>77</v>
      </c>
      <c r="B2" t="s">
        <v>62</v>
      </c>
      <c r="C2" t="s">
        <v>78</v>
      </c>
      <c r="D2" t="s">
        <v>79</v>
      </c>
      <c r="E2">
        <v>144</v>
      </c>
      <c r="F2">
        <v>36</v>
      </c>
    </row>
    <row r="3" spans="1:6">
      <c r="A3" t="s">
        <v>77</v>
      </c>
      <c r="B3" t="s">
        <v>63</v>
      </c>
      <c r="C3" t="s">
        <v>80</v>
      </c>
      <c r="D3" t="s">
        <v>67</v>
      </c>
      <c r="E3">
        <v>144</v>
      </c>
      <c r="F3">
        <v>4</v>
      </c>
    </row>
    <row r="4" spans="1:6">
      <c r="A4" t="s">
        <v>77</v>
      </c>
      <c r="B4" t="s">
        <v>64</v>
      </c>
      <c r="C4" t="s">
        <v>81</v>
      </c>
      <c r="D4" t="s">
        <v>82</v>
      </c>
      <c r="E4">
        <v>144</v>
      </c>
      <c r="F4">
        <v>144</v>
      </c>
    </row>
    <row r="5" spans="1:6">
      <c r="A5" t="s">
        <v>77</v>
      </c>
      <c r="B5" t="s">
        <v>65</v>
      </c>
      <c r="C5" t="s">
        <v>83</v>
      </c>
      <c r="D5" t="s">
        <v>84</v>
      </c>
      <c r="E5">
        <v>144</v>
      </c>
      <c r="F5">
        <v>144</v>
      </c>
    </row>
    <row r="6" spans="1:6">
      <c r="A6" t="s">
        <v>77</v>
      </c>
      <c r="B6" t="s">
        <v>66</v>
      </c>
      <c r="C6" t="s">
        <v>83</v>
      </c>
      <c r="D6" t="s">
        <v>85</v>
      </c>
      <c r="E6">
        <v>144</v>
      </c>
      <c r="F6">
        <v>25</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9"/>
  <sheetViews>
    <sheetView tabSelected="1" zoomScale="88" zoomScaleNormal="88" workbookViewId="0">
      <pane ySplit="3" topLeftCell="A19" activePane="bottomLeft" state="frozen"/>
      <selection pane="bottomLeft" activeCell="H19" sqref="H19"/>
    </sheetView>
  </sheetViews>
  <sheetFormatPr defaultColWidth="8.6640625" defaultRowHeight="13.2"/>
  <cols>
    <col min="1" max="1" width="5" customWidth="1"/>
    <col min="2" max="2" width="12" customWidth="1"/>
    <col min="3" max="3" width="16" customWidth="1"/>
    <col min="4" max="5" width="18" customWidth="1"/>
    <col min="6" max="6" width="50" customWidth="1"/>
    <col min="7" max="8" width="36" customWidth="1"/>
    <col min="9" max="9" width="12" customWidth="1"/>
    <col min="10" max="10" width="31.33203125" customWidth="1"/>
  </cols>
  <sheetData>
    <row r="1" spans="1:10">
      <c r="A1" s="1" t="s">
        <v>86</v>
      </c>
    </row>
    <row r="2" spans="1:10">
      <c r="A2" s="2" t="s">
        <v>87</v>
      </c>
    </row>
    <row r="3" spans="1:10" ht="26.4">
      <c r="A3" s="3" t="s">
        <v>88</v>
      </c>
      <c r="B3" s="3" t="s">
        <v>89</v>
      </c>
      <c r="C3" s="3" t="s">
        <v>90</v>
      </c>
      <c r="D3" s="3" t="s">
        <v>91</v>
      </c>
      <c r="E3" s="3" t="s">
        <v>92</v>
      </c>
      <c r="F3" s="3" t="s">
        <v>93</v>
      </c>
      <c r="G3" s="3" t="s">
        <v>94</v>
      </c>
      <c r="H3" s="3" t="s">
        <v>95</v>
      </c>
      <c r="I3" s="3" t="s">
        <v>96</v>
      </c>
      <c r="J3" s="3" t="s">
        <v>97</v>
      </c>
    </row>
    <row r="4" spans="1:10" ht="39.6">
      <c r="A4" s="4">
        <v>1</v>
      </c>
      <c r="B4" s="5">
        <v>46034</v>
      </c>
      <c r="C4" s="4" t="s">
        <v>98</v>
      </c>
      <c r="D4" s="4" t="s">
        <v>99</v>
      </c>
      <c r="E4" s="4"/>
      <c r="F4" s="4" t="s">
        <v>100</v>
      </c>
      <c r="G4" s="4" t="s">
        <v>101</v>
      </c>
      <c r="H4" s="4" t="s">
        <v>102</v>
      </c>
      <c r="I4" s="4" t="s">
        <v>103</v>
      </c>
      <c r="J4" s="4" t="s">
        <v>104</v>
      </c>
    </row>
    <row r="5" spans="1:10" ht="374.4">
      <c r="A5" s="6">
        <v>2</v>
      </c>
      <c r="B5" s="7">
        <v>46297</v>
      </c>
      <c r="C5" s="33" t="s">
        <v>98</v>
      </c>
      <c r="D5" s="33" t="s">
        <v>99</v>
      </c>
      <c r="E5" s="8" t="s">
        <v>122</v>
      </c>
      <c r="F5" s="33" t="s">
        <v>118</v>
      </c>
      <c r="G5" s="33" t="s">
        <v>120</v>
      </c>
      <c r="H5" s="33" t="s">
        <v>121</v>
      </c>
      <c r="I5" s="33" t="s">
        <v>119</v>
      </c>
      <c r="J5" s="33" t="s">
        <v>127</v>
      </c>
    </row>
    <row r="6" spans="1:10" ht="259.2">
      <c r="A6" s="6">
        <v>3</v>
      </c>
      <c r="B6" s="7">
        <v>46297</v>
      </c>
      <c r="C6" s="8" t="s">
        <v>98</v>
      </c>
      <c r="D6" s="8" t="s">
        <v>99</v>
      </c>
      <c r="E6" s="8" t="s">
        <v>122</v>
      </c>
      <c r="F6" s="8" t="s">
        <v>123</v>
      </c>
      <c r="G6" s="8" t="s">
        <v>124</v>
      </c>
      <c r="H6" s="8" t="s">
        <v>125</v>
      </c>
      <c r="I6" s="8" t="s">
        <v>119</v>
      </c>
      <c r="J6" s="8" t="s">
        <v>126</v>
      </c>
    </row>
    <row r="7" spans="1:10" ht="345.6">
      <c r="A7" s="6">
        <v>4</v>
      </c>
      <c r="B7" s="7"/>
      <c r="C7" s="8"/>
      <c r="D7" s="8"/>
      <c r="E7" s="8"/>
      <c r="F7" s="8" t="s">
        <v>128</v>
      </c>
      <c r="G7" s="8" t="s">
        <v>129</v>
      </c>
      <c r="H7" s="8" t="s">
        <v>130</v>
      </c>
      <c r="I7" s="8" t="s">
        <v>119</v>
      </c>
      <c r="J7" s="8" t="s">
        <v>131</v>
      </c>
    </row>
    <row r="8" spans="1:10" ht="409.6">
      <c r="A8" s="6">
        <v>5</v>
      </c>
      <c r="B8" s="7"/>
      <c r="C8" s="8"/>
      <c r="D8" s="8"/>
      <c r="E8" s="8"/>
      <c r="F8" s="8" t="s">
        <v>132</v>
      </c>
      <c r="G8" s="8" t="s">
        <v>133</v>
      </c>
      <c r="H8" s="8" t="s">
        <v>134</v>
      </c>
      <c r="I8" s="8" t="s">
        <v>119</v>
      </c>
      <c r="J8" s="8" t="s">
        <v>135</v>
      </c>
    </row>
    <row r="9" spans="1:10" ht="409.6">
      <c r="A9" s="6">
        <v>6</v>
      </c>
      <c r="B9" s="7"/>
      <c r="C9" s="8"/>
      <c r="D9" s="8"/>
      <c r="E9" s="8"/>
      <c r="F9" s="8" t="s">
        <v>137</v>
      </c>
      <c r="G9" s="8" t="s">
        <v>138</v>
      </c>
      <c r="H9" s="8" t="s">
        <v>139</v>
      </c>
      <c r="I9" s="8" t="s">
        <v>119</v>
      </c>
      <c r="J9" s="8" t="s">
        <v>140</v>
      </c>
    </row>
    <row r="10" spans="1:10" ht="409.6">
      <c r="A10" s="6">
        <v>7</v>
      </c>
      <c r="B10" s="7"/>
      <c r="C10" s="8"/>
      <c r="D10" s="8"/>
      <c r="E10" s="8"/>
      <c r="F10" s="8" t="s">
        <v>141</v>
      </c>
      <c r="G10" s="8" t="s">
        <v>142</v>
      </c>
      <c r="H10" s="8" t="s">
        <v>143</v>
      </c>
      <c r="I10" s="8" t="s">
        <v>119</v>
      </c>
      <c r="J10" s="8" t="s">
        <v>144</v>
      </c>
    </row>
    <row r="11" spans="1:10" ht="409.6">
      <c r="A11" s="6">
        <v>8</v>
      </c>
      <c r="B11" s="7"/>
      <c r="C11" s="8"/>
      <c r="D11" s="8"/>
      <c r="E11" s="8"/>
      <c r="F11" s="8" t="s">
        <v>146</v>
      </c>
      <c r="G11" s="8" t="s">
        <v>147</v>
      </c>
      <c r="H11" s="8" t="s">
        <v>148</v>
      </c>
      <c r="I11" s="8" t="s">
        <v>119</v>
      </c>
      <c r="J11" s="8" t="s">
        <v>136</v>
      </c>
    </row>
    <row r="12" spans="1:10" ht="409.6">
      <c r="A12" s="6">
        <v>9</v>
      </c>
      <c r="B12" s="7"/>
      <c r="C12" s="8"/>
      <c r="D12" s="8"/>
      <c r="E12" s="8"/>
      <c r="F12" s="8" t="s">
        <v>149</v>
      </c>
      <c r="G12" s="8" t="s">
        <v>150</v>
      </c>
      <c r="H12" s="8" t="s">
        <v>151</v>
      </c>
      <c r="I12" s="8" t="s">
        <v>119</v>
      </c>
      <c r="J12" s="8" t="s">
        <v>145</v>
      </c>
    </row>
    <row r="13" spans="1:10" ht="403.2">
      <c r="A13" s="6">
        <v>10</v>
      </c>
      <c r="B13" s="7"/>
      <c r="C13" s="8"/>
      <c r="D13" s="8"/>
      <c r="E13" s="8"/>
      <c r="F13" s="8" t="s">
        <v>152</v>
      </c>
      <c r="G13" s="8" t="s">
        <v>153</v>
      </c>
      <c r="H13" s="8" t="s">
        <v>154</v>
      </c>
      <c r="I13" s="8" t="s">
        <v>119</v>
      </c>
      <c r="J13" s="8" t="s">
        <v>155</v>
      </c>
    </row>
    <row r="14" spans="1:10" ht="409.6">
      <c r="A14" s="6">
        <v>11</v>
      </c>
      <c r="B14" s="7"/>
      <c r="C14" s="8"/>
      <c r="D14" s="8"/>
      <c r="E14" s="8"/>
      <c r="F14" s="8" t="s">
        <v>161</v>
      </c>
      <c r="G14" s="8" t="s">
        <v>162</v>
      </c>
      <c r="H14" s="8" t="s">
        <v>163</v>
      </c>
      <c r="I14" s="8" t="s">
        <v>119</v>
      </c>
      <c r="J14" s="8" t="s">
        <v>156</v>
      </c>
    </row>
    <row r="15" spans="1:10" ht="409.6">
      <c r="A15" s="6">
        <v>12</v>
      </c>
      <c r="B15" s="7"/>
      <c r="C15" s="8"/>
      <c r="D15" s="8"/>
      <c r="E15" s="8"/>
      <c r="F15" s="8" t="s">
        <v>167</v>
      </c>
      <c r="G15" s="8" t="s">
        <v>165</v>
      </c>
      <c r="H15" s="8" t="s">
        <v>166</v>
      </c>
      <c r="I15" s="8" t="s">
        <v>119</v>
      </c>
      <c r="J15" s="8" t="s">
        <v>157</v>
      </c>
    </row>
    <row r="16" spans="1:10" ht="360">
      <c r="A16" s="6">
        <v>13</v>
      </c>
      <c r="B16" s="7"/>
      <c r="C16" s="8"/>
      <c r="D16" s="8"/>
      <c r="E16" s="8"/>
      <c r="F16" s="8" t="s">
        <v>169</v>
      </c>
      <c r="G16" s="8" t="s">
        <v>168</v>
      </c>
      <c r="H16" s="8" t="s">
        <v>170</v>
      </c>
      <c r="I16" s="8" t="s">
        <v>119</v>
      </c>
      <c r="J16" s="8" t="s">
        <v>158</v>
      </c>
    </row>
    <row r="17" spans="1:10" ht="403.2">
      <c r="A17" s="6">
        <v>14</v>
      </c>
      <c r="B17" s="7"/>
      <c r="C17" s="8"/>
      <c r="D17" s="8"/>
      <c r="E17" s="8"/>
      <c r="F17" s="8" t="s">
        <v>171</v>
      </c>
      <c r="G17" s="8" t="s">
        <v>173</v>
      </c>
      <c r="H17" s="8" t="s">
        <v>172</v>
      </c>
      <c r="I17" s="8" t="s">
        <v>119</v>
      </c>
      <c r="J17" s="8" t="s">
        <v>159</v>
      </c>
    </row>
    <row r="18" spans="1:10" ht="409.6">
      <c r="A18" s="6">
        <v>15</v>
      </c>
      <c r="B18" s="7"/>
      <c r="C18" s="8"/>
      <c r="D18" s="8"/>
      <c r="E18" s="8"/>
      <c r="F18" s="8" t="s">
        <v>174</v>
      </c>
      <c r="G18" s="8" t="s">
        <v>175</v>
      </c>
      <c r="H18" s="8" t="s">
        <v>176</v>
      </c>
      <c r="I18" s="8" t="s">
        <v>119</v>
      </c>
      <c r="J18" s="8" t="s">
        <v>160</v>
      </c>
    </row>
    <row r="19" spans="1:10" ht="409.6">
      <c r="A19" s="6">
        <v>16</v>
      </c>
      <c r="B19" s="7"/>
      <c r="C19" s="8"/>
      <c r="D19" s="8"/>
      <c r="E19" s="8"/>
      <c r="F19" s="8" t="s">
        <v>177</v>
      </c>
      <c r="G19" s="8" t="s">
        <v>178</v>
      </c>
      <c r="H19" s="8" t="s">
        <v>179</v>
      </c>
      <c r="I19" s="8" t="s">
        <v>119</v>
      </c>
      <c r="J19" s="8" t="s">
        <v>164</v>
      </c>
    </row>
    <row r="20" spans="1:10" ht="14.4">
      <c r="A20" s="6">
        <v>17</v>
      </c>
      <c r="B20" s="7"/>
      <c r="C20" s="8"/>
      <c r="D20" s="8"/>
      <c r="E20" s="8"/>
      <c r="F20" s="8"/>
      <c r="G20" s="8"/>
      <c r="H20" s="8"/>
      <c r="I20" s="8"/>
      <c r="J20" s="8"/>
    </row>
    <row r="21" spans="1:10" ht="14.4">
      <c r="A21" s="6">
        <v>18</v>
      </c>
      <c r="B21" s="7"/>
      <c r="C21" s="8"/>
      <c r="D21" s="8"/>
      <c r="E21" s="8"/>
      <c r="F21" s="8"/>
      <c r="G21" s="8"/>
      <c r="H21" s="8"/>
      <c r="I21" s="8"/>
      <c r="J21" s="8"/>
    </row>
    <row r="22" spans="1:10" ht="14.4">
      <c r="A22" s="6">
        <v>19</v>
      </c>
      <c r="B22" s="7"/>
      <c r="C22" s="8"/>
      <c r="D22" s="8"/>
      <c r="E22" s="8"/>
      <c r="F22" s="8"/>
      <c r="G22" s="8"/>
      <c r="H22" s="8"/>
      <c r="I22" s="8"/>
      <c r="J22" s="8"/>
    </row>
    <row r="23" spans="1:10" ht="14.4">
      <c r="A23" s="6">
        <v>20</v>
      </c>
      <c r="B23" s="7"/>
      <c r="C23" s="8"/>
      <c r="D23" s="8"/>
      <c r="E23" s="8"/>
      <c r="F23" s="8"/>
      <c r="G23" s="8"/>
      <c r="H23" s="8"/>
      <c r="I23" s="8"/>
      <c r="J23" s="8"/>
    </row>
    <row r="24" spans="1:10" ht="14.4">
      <c r="A24" s="6">
        <v>21</v>
      </c>
      <c r="B24" s="7"/>
      <c r="C24" s="8"/>
      <c r="D24" s="8"/>
      <c r="E24" s="8"/>
      <c r="F24" s="8"/>
      <c r="G24" s="8"/>
      <c r="H24" s="8"/>
      <c r="I24" s="8"/>
      <c r="J24" s="8"/>
    </row>
    <row r="25" spans="1:10" ht="14.4">
      <c r="A25" s="6">
        <v>22</v>
      </c>
      <c r="B25" s="7"/>
      <c r="C25" s="8"/>
      <c r="D25" s="8"/>
      <c r="E25" s="8"/>
      <c r="F25" s="8"/>
      <c r="G25" s="8"/>
      <c r="H25" s="8"/>
      <c r="I25" s="8"/>
      <c r="J25" s="8"/>
    </row>
    <row r="26" spans="1:10" ht="14.4">
      <c r="A26" s="6">
        <v>23</v>
      </c>
      <c r="B26" s="7"/>
      <c r="C26" s="8"/>
      <c r="D26" s="8"/>
      <c r="E26" s="8"/>
      <c r="F26" s="8"/>
      <c r="G26" s="8"/>
      <c r="H26" s="8"/>
      <c r="I26" s="8"/>
      <c r="J26" s="8"/>
    </row>
    <row r="27" spans="1:10" ht="14.4">
      <c r="A27" s="6">
        <v>24</v>
      </c>
      <c r="B27" s="7"/>
      <c r="C27" s="8"/>
      <c r="D27" s="8"/>
      <c r="E27" s="8"/>
      <c r="F27" s="8"/>
      <c r="G27" s="8"/>
      <c r="H27" s="8"/>
      <c r="I27" s="8"/>
      <c r="J27" s="8"/>
    </row>
    <row r="28" spans="1:10" ht="14.4">
      <c r="A28" s="6">
        <v>25</v>
      </c>
      <c r="B28" s="7"/>
      <c r="C28" s="8"/>
      <c r="D28" s="8"/>
      <c r="E28" s="8"/>
      <c r="F28" s="8"/>
      <c r="G28" s="8"/>
      <c r="H28" s="8"/>
      <c r="I28" s="8"/>
      <c r="J28" s="8"/>
    </row>
    <row r="29" spans="1:10" ht="14.4">
      <c r="A29" s="6">
        <v>26</v>
      </c>
      <c r="B29" s="7"/>
      <c r="C29" s="8"/>
      <c r="D29" s="8"/>
      <c r="E29" s="8"/>
      <c r="F29" s="8"/>
      <c r="G29" s="8"/>
      <c r="H29" s="8"/>
      <c r="I29" s="8"/>
      <c r="J29" s="8"/>
    </row>
  </sheetData>
  <dataValidations count="1">
    <dataValidation type="list" allowBlank="1" sqref="I5:I29">
      <formula1>"Kept,Rejected,Partly kept"</formula1>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6"/>
  <sheetViews>
    <sheetView workbookViewId="0">
      <selection activeCell="C9" sqref="C9"/>
    </sheetView>
  </sheetViews>
  <sheetFormatPr defaultRowHeight="13.2"/>
  <cols>
    <col min="1" max="1" width="34.5546875" customWidth="1"/>
    <col min="2" max="2" width="45.21875" customWidth="1"/>
    <col min="3" max="3" width="28" customWidth="1"/>
    <col min="4" max="4" width="44.109375" customWidth="1"/>
  </cols>
  <sheetData>
    <row r="1" spans="1:5" ht="26.4">
      <c r="A1" s="17" t="s">
        <v>105</v>
      </c>
      <c r="B1" s="17" t="s">
        <v>106</v>
      </c>
      <c r="C1" s="17" t="s">
        <v>107</v>
      </c>
      <c r="D1" s="17" t="s">
        <v>108</v>
      </c>
      <c r="E1" s="18"/>
    </row>
    <row r="2" spans="1:5">
      <c r="A2" s="19" t="s">
        <v>69</v>
      </c>
      <c r="B2" s="20">
        <v>7.78</v>
      </c>
      <c r="C2" s="20">
        <v>7.62</v>
      </c>
      <c r="D2" s="20">
        <v>6.39</v>
      </c>
      <c r="E2" s="18"/>
    </row>
    <row r="3" spans="1:5">
      <c r="A3" s="19" t="s">
        <v>67</v>
      </c>
      <c r="B3" s="20">
        <v>10.39</v>
      </c>
      <c r="C3" s="20">
        <v>7.57</v>
      </c>
      <c r="D3" s="20">
        <v>6.96</v>
      </c>
      <c r="E3" s="18"/>
    </row>
    <row r="4" spans="1:5">
      <c r="A4" s="19" t="s">
        <v>68</v>
      </c>
      <c r="B4" s="20">
        <v>16.25</v>
      </c>
      <c r="C4" s="20">
        <v>16.23</v>
      </c>
      <c r="D4" s="20">
        <v>13.57</v>
      </c>
      <c r="E4" s="18"/>
    </row>
    <row r="5" spans="1:5">
      <c r="A5" s="19" t="s">
        <v>70</v>
      </c>
      <c r="B5" s="20">
        <v>9.2200000000000006</v>
      </c>
      <c r="C5" s="20">
        <v>9.57</v>
      </c>
      <c r="D5" s="20">
        <v>8.17</v>
      </c>
      <c r="E5" s="18"/>
    </row>
    <row r="6" spans="1:5">
      <c r="A6" s="21" t="s">
        <v>109</v>
      </c>
      <c r="B6" s="22">
        <v>10.91</v>
      </c>
      <c r="C6" s="22">
        <v>10.25</v>
      </c>
      <c r="D6" s="22">
        <v>8.77</v>
      </c>
      <c r="E6" s="18"/>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5"/>
  <sheetViews>
    <sheetView workbookViewId="0">
      <selection activeCell="B27" sqref="B27"/>
    </sheetView>
  </sheetViews>
  <sheetFormatPr defaultRowHeight="13.2"/>
  <cols>
    <col min="1" max="1" width="49.6640625" customWidth="1"/>
    <col min="2" max="2" width="32.77734375" customWidth="1"/>
    <col min="3" max="3" width="35" customWidth="1"/>
    <col min="4" max="4" width="56.77734375" customWidth="1"/>
  </cols>
  <sheetData>
    <row r="1" spans="1:4" ht="13.8">
      <c r="A1" s="23" t="s">
        <v>110</v>
      </c>
      <c r="B1" s="23" t="s">
        <v>105</v>
      </c>
      <c r="C1" s="23" t="s">
        <v>111</v>
      </c>
      <c r="D1" s="23" t="s">
        <v>112</v>
      </c>
    </row>
    <row r="2" spans="1:4" ht="13.8">
      <c r="A2" s="24">
        <v>46113</v>
      </c>
      <c r="B2" s="25" t="s">
        <v>69</v>
      </c>
      <c r="C2" s="25" t="s">
        <v>113</v>
      </c>
      <c r="D2" s="26">
        <v>3834886.17</v>
      </c>
    </row>
    <row r="3" spans="1:4" ht="13.8">
      <c r="A3" s="24">
        <v>46143</v>
      </c>
      <c r="B3" s="25" t="s">
        <v>69</v>
      </c>
      <c r="C3" s="25" t="s">
        <v>113</v>
      </c>
      <c r="D3" s="26">
        <v>3876087.93</v>
      </c>
    </row>
    <row r="4" spans="1:4" ht="13.8">
      <c r="A4" s="24">
        <v>46174</v>
      </c>
      <c r="B4" s="25" t="s">
        <v>69</v>
      </c>
      <c r="C4" s="25" t="s">
        <v>113</v>
      </c>
      <c r="D4" s="26">
        <v>3917289.7</v>
      </c>
    </row>
    <row r="5" spans="1:4" ht="13.8">
      <c r="A5" s="24">
        <v>46204</v>
      </c>
      <c r="B5" s="25" t="s">
        <v>69</v>
      </c>
      <c r="C5" s="25" t="s">
        <v>113</v>
      </c>
      <c r="D5" s="26">
        <v>3958491.46</v>
      </c>
    </row>
    <row r="6" spans="1:4" ht="13.8">
      <c r="A6" s="24">
        <v>46235</v>
      </c>
      <c r="B6" s="25" t="s">
        <v>69</v>
      </c>
      <c r="C6" s="25" t="s">
        <v>113</v>
      </c>
      <c r="D6" s="26">
        <v>3999693.22</v>
      </c>
    </row>
    <row r="7" spans="1:4" ht="13.8">
      <c r="A7" s="24">
        <v>46266</v>
      </c>
      <c r="B7" s="25" t="s">
        <v>69</v>
      </c>
      <c r="C7" s="25" t="s">
        <v>113</v>
      </c>
      <c r="D7" s="26">
        <v>4040894.98</v>
      </c>
    </row>
    <row r="8" spans="1:4" ht="13.8">
      <c r="A8" s="24">
        <v>46113</v>
      </c>
      <c r="B8" s="25" t="s">
        <v>67</v>
      </c>
      <c r="C8" s="25" t="s">
        <v>113</v>
      </c>
      <c r="D8" s="26">
        <v>6735257.9699999997</v>
      </c>
    </row>
    <row r="9" spans="1:4" ht="13.8">
      <c r="A9" s="24">
        <v>46143</v>
      </c>
      <c r="B9" s="25" t="s">
        <v>67</v>
      </c>
      <c r="C9" s="25" t="s">
        <v>113</v>
      </c>
      <c r="D9" s="26">
        <v>6808619.1699999999</v>
      </c>
    </row>
    <row r="10" spans="1:4" ht="13.8">
      <c r="A10" s="24">
        <v>46174</v>
      </c>
      <c r="B10" s="25" t="s">
        <v>67</v>
      </c>
      <c r="C10" s="25" t="s">
        <v>113</v>
      </c>
      <c r="D10" s="26">
        <v>6881980.3700000001</v>
      </c>
    </row>
    <row r="11" spans="1:4" ht="13.8">
      <c r="A11" s="24">
        <v>46204</v>
      </c>
      <c r="B11" s="25" t="s">
        <v>67</v>
      </c>
      <c r="C11" s="25" t="s">
        <v>113</v>
      </c>
      <c r="D11" s="26">
        <v>6955341.5700000003</v>
      </c>
    </row>
    <row r="12" spans="1:4" ht="13.8">
      <c r="A12" s="24">
        <v>46235</v>
      </c>
      <c r="B12" s="25" t="s">
        <v>67</v>
      </c>
      <c r="C12" s="25" t="s">
        <v>113</v>
      </c>
      <c r="D12" s="26">
        <v>7028702.7800000003</v>
      </c>
    </row>
    <row r="13" spans="1:4" ht="13.8">
      <c r="A13" s="24">
        <v>46266</v>
      </c>
      <c r="B13" s="25" t="s">
        <v>67</v>
      </c>
      <c r="C13" s="25" t="s">
        <v>113</v>
      </c>
      <c r="D13" s="26">
        <v>7102063.9800000004</v>
      </c>
    </row>
    <row r="14" spans="1:4" ht="13.8">
      <c r="A14" s="24">
        <v>46113</v>
      </c>
      <c r="B14" s="25" t="s">
        <v>68</v>
      </c>
      <c r="C14" s="25" t="s">
        <v>113</v>
      </c>
      <c r="D14" s="26">
        <v>8966426.3200000003</v>
      </c>
    </row>
    <row r="15" spans="1:4" ht="13.8">
      <c r="A15" s="24">
        <v>46143</v>
      </c>
      <c r="B15" s="25" t="s">
        <v>68</v>
      </c>
      <c r="C15" s="25" t="s">
        <v>113</v>
      </c>
      <c r="D15" s="26">
        <v>9065916.0800000001</v>
      </c>
    </row>
    <row r="16" spans="1:4" ht="13.8">
      <c r="A16" s="24">
        <v>46174</v>
      </c>
      <c r="B16" s="25" t="s">
        <v>68</v>
      </c>
      <c r="C16" s="25" t="s">
        <v>113</v>
      </c>
      <c r="D16" s="26">
        <v>9165405.8399999999</v>
      </c>
    </row>
    <row r="17" spans="1:4" ht="13.8">
      <c r="A17" s="24">
        <v>46204</v>
      </c>
      <c r="B17" s="25" t="s">
        <v>68</v>
      </c>
      <c r="C17" s="25" t="s">
        <v>113</v>
      </c>
      <c r="D17" s="26">
        <v>9264895.5999999996</v>
      </c>
    </row>
    <row r="18" spans="1:4" ht="13.8">
      <c r="A18" s="24">
        <v>46235</v>
      </c>
      <c r="B18" s="25" t="s">
        <v>68</v>
      </c>
      <c r="C18" s="25" t="s">
        <v>113</v>
      </c>
      <c r="D18" s="26">
        <v>9364385.3699999992</v>
      </c>
    </row>
    <row r="19" spans="1:4" ht="13.8">
      <c r="A19" s="24">
        <v>46266</v>
      </c>
      <c r="B19" s="25" t="s">
        <v>68</v>
      </c>
      <c r="C19" s="25" t="s">
        <v>113</v>
      </c>
      <c r="D19" s="26">
        <v>9463875.1300000008</v>
      </c>
    </row>
    <row r="20" spans="1:4" ht="13.8">
      <c r="A20" s="24">
        <v>46113</v>
      </c>
      <c r="B20" s="25" t="s">
        <v>70</v>
      </c>
      <c r="C20" s="25" t="s">
        <v>113</v>
      </c>
      <c r="D20" s="26">
        <v>9684896.1500000004</v>
      </c>
    </row>
    <row r="21" spans="1:4" ht="13.8">
      <c r="A21" s="24">
        <v>46143</v>
      </c>
      <c r="B21" s="25" t="s">
        <v>70</v>
      </c>
      <c r="C21" s="25" t="s">
        <v>113</v>
      </c>
      <c r="D21" s="26">
        <v>9789023.4900000002</v>
      </c>
    </row>
    <row r="22" spans="1:4" ht="13.8">
      <c r="A22" s="24">
        <v>46174</v>
      </c>
      <c r="B22" s="25" t="s">
        <v>70</v>
      </c>
      <c r="C22" s="25" t="s">
        <v>113</v>
      </c>
      <c r="D22" s="26">
        <v>9893150.8200000003</v>
      </c>
    </row>
    <row r="23" spans="1:4" ht="13.8">
      <c r="A23" s="24">
        <v>46204</v>
      </c>
      <c r="B23" s="25" t="s">
        <v>70</v>
      </c>
      <c r="C23" s="25" t="s">
        <v>113</v>
      </c>
      <c r="D23" s="26">
        <v>9997278.1500000004</v>
      </c>
    </row>
    <row r="24" spans="1:4" ht="13.8">
      <c r="A24" s="24">
        <v>46235</v>
      </c>
      <c r="B24" s="25" t="s">
        <v>70</v>
      </c>
      <c r="C24" s="25" t="s">
        <v>113</v>
      </c>
      <c r="D24" s="26">
        <v>10101405.48</v>
      </c>
    </row>
    <row r="25" spans="1:4" ht="13.8">
      <c r="A25" s="24">
        <v>46266</v>
      </c>
      <c r="B25" s="25" t="s">
        <v>70</v>
      </c>
      <c r="C25" s="25" t="s">
        <v>113</v>
      </c>
      <c r="D25" s="26">
        <v>10205532.810000001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
  <sheetViews>
    <sheetView workbookViewId="0">
      <selection activeCell="E18" sqref="E18"/>
    </sheetView>
  </sheetViews>
  <sheetFormatPr defaultRowHeight="13.2"/>
  <cols>
    <col min="1" max="1" width="29.33203125" customWidth="1"/>
    <col min="2" max="2" width="26.6640625" customWidth="1"/>
    <col min="3" max="4" width="16.109375" customWidth="1"/>
    <col min="5" max="5" width="13.21875" customWidth="1"/>
    <col min="6" max="6" width="16.5546875" customWidth="1"/>
    <col min="7" max="7" width="16.33203125" customWidth="1"/>
  </cols>
  <sheetData>
    <row r="1" spans="1:7">
      <c r="A1" s="31" t="s">
        <v>114</v>
      </c>
      <c r="B1" s="31" t="s">
        <v>113</v>
      </c>
    </row>
    <row r="2" spans="1:7">
      <c r="A2" s="31" t="s">
        <v>115</v>
      </c>
      <c r="B2" s="32">
        <v>8.77</v>
      </c>
    </row>
    <row r="3" spans="1:7">
      <c r="A3" s="31" t="s">
        <v>116</v>
      </c>
      <c r="B3" s="31" t="s">
        <v>117</v>
      </c>
    </row>
    <row r="5" spans="1:7">
      <c r="A5" s="27" t="s">
        <v>105</v>
      </c>
      <c r="B5" s="28">
        <v>46113</v>
      </c>
      <c r="C5" s="28">
        <v>46143</v>
      </c>
      <c r="D5" s="28">
        <v>46174</v>
      </c>
      <c r="E5" s="28">
        <v>46204</v>
      </c>
      <c r="F5" s="28">
        <v>46235</v>
      </c>
      <c r="G5" s="28">
        <v>46266</v>
      </c>
    </row>
    <row r="6" spans="1:7">
      <c r="A6" s="29" t="s">
        <v>69</v>
      </c>
      <c r="B6" s="30">
        <v>3834886.17</v>
      </c>
      <c r="C6" s="30">
        <v>3876087.93</v>
      </c>
      <c r="D6" s="30">
        <v>3917289.7</v>
      </c>
      <c r="E6" s="30">
        <v>3958491.46</v>
      </c>
      <c r="F6" s="30">
        <v>3999693.22</v>
      </c>
      <c r="G6" s="30">
        <v>4040894.98</v>
      </c>
    </row>
    <row r="7" spans="1:7">
      <c r="A7" s="29" t="s">
        <v>67</v>
      </c>
      <c r="B7" s="30">
        <v>6735257.9699999997</v>
      </c>
      <c r="C7" s="30">
        <v>6808619.1699999999</v>
      </c>
      <c r="D7" s="30">
        <v>6881980.3700000001</v>
      </c>
      <c r="E7" s="30">
        <v>6955341.5700000003</v>
      </c>
      <c r="F7" s="30">
        <v>7028702.7800000003</v>
      </c>
      <c r="G7" s="30">
        <v>7102063.9800000004</v>
      </c>
    </row>
    <row r="8" spans="1:7">
      <c r="A8" s="29" t="s">
        <v>68</v>
      </c>
      <c r="B8" s="30">
        <v>8966426.3200000003</v>
      </c>
      <c r="C8" s="30">
        <v>9065916.0800000001</v>
      </c>
      <c r="D8" s="30">
        <v>9165405.8399999999</v>
      </c>
      <c r="E8" s="30">
        <v>9264895.5999999996</v>
      </c>
      <c r="F8" s="30">
        <v>9364385.3699999992</v>
      </c>
      <c r="G8" s="30">
        <v>9463875.1300000008</v>
      </c>
    </row>
    <row r="9" spans="1:7">
      <c r="A9" s="29" t="s">
        <v>70</v>
      </c>
      <c r="B9" s="30">
        <v>9684896.1500000004</v>
      </c>
      <c r="C9" s="30">
        <v>9789023.4900000002</v>
      </c>
      <c r="D9" s="30">
        <v>9893150.8200000003</v>
      </c>
      <c r="E9" s="30">
        <v>9997278.1500000004</v>
      </c>
      <c r="F9" s="30">
        <v>10101405.48</v>
      </c>
      <c r="G9" s="30">
        <v>10205532.810000001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Task Brief</vt:lpstr>
      <vt:lpstr>Monthly Sales</vt:lpstr>
      <vt:lpstr>Data Dictionary</vt:lpstr>
      <vt:lpstr>AI Use Log</vt:lpstr>
      <vt:lpstr>Backtest Results</vt:lpstr>
      <vt:lpstr>Forecast Output</vt:lpstr>
      <vt:lpstr>Forecast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cp:revision>0</cp:revision>
  <dcterms:created xsi:type="dcterms:W3CDTF">2026-09-25T16:15:00Z</dcterms:created>
  <dcterms:modified xsi:type="dcterms:W3CDTF">2026-10-03T22:43:17Z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2E556C67BD01494C9EDDE0356F02A888_12</vt:lpwstr>
  </property>
  <property fmtid="{D5CDD505-2E9C-101B-9397-08002B2CF9AE}" pid="3" name="KSOProductBuildVer">
    <vt:lpwstr>1033-12.1.0.28485</vt:lpwstr>
  </property>
  <property fmtid="{D5CDD505-2E9C-101B-9397-08002B2CF9AE}" pid="4" name="CalculationRule">
    <vt:i4>0</vt:i4>
  </property>
</Properties>
</file>